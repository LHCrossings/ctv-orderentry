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 Confirmation" sheetId="1" state="visible" r:id="rId1"/>
    <sheet name="Run Sheet" sheetId="2" state="visible" r:id="rId2"/>
    <sheet name="Sheet1" sheetId="3" state="visible" r:id="rId3"/>
  </sheets>
  <definedNames>
    <definedName name="_xlnm._FilterDatabase" localSheetId="1" hidden="1">'Run Sheet'!$A$1:$AC$1</definedName>
  </definedNames>
  <calcPr calcId="191029" fullCalcOnLoad="1"/>
  <pivotCaches>
    <pivotCache cacheId="1" r:id="rId4"/>
  </pivotCaches>
</workbook>
</file>

<file path=xl/styles.xml><?xml version="1.0" encoding="utf-8"?>
<styleSheet xmlns="http://schemas.openxmlformats.org/spreadsheetml/2006/main">
  <numFmts count="7">
    <numFmt numFmtId="164" formatCode="[h]:mm:ss;@"/>
    <numFmt numFmtId="165" formatCode="_(&quot;$&quot;* #,##0.00_);_(&quot;$&quot;* \(#,##0.00\);_(&quot;$&quot;* &quot;-&quot;??_);_(@_)"/>
    <numFmt numFmtId="166" formatCode="m/d/yy"/>
    <numFmt numFmtId="167" formatCode="[$-409]mmmm\-yy;@"/>
    <numFmt numFmtId="168" formatCode="&quot;$&quot;#,##0.00"/>
    <numFmt numFmtId="169" formatCode="&quot;$&quot;#,##0.00_);\(&quot;$&quot;#,##0.00\)"/>
    <numFmt numFmtId="170" formatCode="[&lt;=9999999]###\-####;\(###\)\ ###\-####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  <u val="single"/>
    </font>
    <font>
      <name val="Arial"/>
      <family val="2"/>
      <sz val="12"/>
    </font>
    <font>
      <name val="Calibri"/>
      <family val="2"/>
      <b val="1"/>
      <sz val="11"/>
    </font>
    <font>
      <name val="Calibri"/>
      <family val="2"/>
      <color indexed="8"/>
      <sz val="11"/>
    </font>
    <font>
      <name val="Calibri"/>
      <family val="2"/>
      <sz val="11"/>
    </font>
    <font>
      <name val="Arial"/>
      <family val="2"/>
      <sz val="10"/>
    </font>
    <font>
      <name val="Calibri"/>
      <family val="2"/>
      <b val="1"/>
      <i val="1"/>
      <color indexed="8"/>
      <sz val="11"/>
    </font>
    <font>
      <name val="Calibri"/>
      <family val="2"/>
      <i val="1"/>
      <color indexed="8"/>
      <sz val="11"/>
    </font>
    <font>
      <name val="Calibri"/>
      <family val="2"/>
      <color indexed="8"/>
      <sz val="9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color indexed="10"/>
      <sz val="11"/>
    </font>
    <font>
      <name val="Calibri"/>
      <family val="2"/>
      <color theme="10"/>
      <sz val="11"/>
      <u val="single"/>
    </font>
  </fonts>
  <fills count="2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/>
      <bottom/>
    </border>
    <border>
      <left style="thick">
        <color indexed="64"/>
      </left>
      <right/>
      <top style="thick"/>
      <bottom/>
    </border>
    <border>
      <left/>
      <right style="thick">
        <color indexed="64"/>
      </right>
      <top style="thick"/>
      <bottom/>
    </border>
    <border>
      <left/>
      <right/>
      <top/>
      <bottom/>
    </border>
  </borders>
  <cellStyleXfs count="89">
    <xf numFmtId="0" fontId="0" fillId="0" borderId="0"/>
    <xf numFmtId="0" fontId="5" fillId="2" borderId="0"/>
    <xf numFmtId="0" fontId="5" fillId="2" borderId="0"/>
    <xf numFmtId="0" fontId="5" fillId="3" borderId="0"/>
    <xf numFmtId="0" fontId="5" fillId="3" borderId="0"/>
    <xf numFmtId="0" fontId="5" fillId="4" borderId="0"/>
    <xf numFmtId="0" fontId="5" fillId="4" borderId="0"/>
    <xf numFmtId="0" fontId="5" fillId="5" borderId="0"/>
    <xf numFmtId="0" fontId="5" fillId="5" borderId="0"/>
    <xf numFmtId="0" fontId="5" fillId="6" borderId="0"/>
    <xf numFmtId="0" fontId="5" fillId="6" borderId="0"/>
    <xf numFmtId="0" fontId="5" fillId="7" borderId="0"/>
    <xf numFmtId="0" fontId="5" fillId="7" borderId="0"/>
    <xf numFmtId="0" fontId="5" fillId="8" borderId="0"/>
    <xf numFmtId="0" fontId="5" fillId="8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5" borderId="0"/>
    <xf numFmtId="0" fontId="5" fillId="5" borderId="0"/>
    <xf numFmtId="0" fontId="5" fillId="8" borderId="0"/>
    <xf numFmtId="0" fontId="5" fillId="8" borderId="0"/>
    <xf numFmtId="0" fontId="5" fillId="11" borderId="0"/>
    <xf numFmtId="0" fontId="5" fillId="11" borderId="0"/>
    <xf numFmtId="0" fontId="11" fillId="12" borderId="0"/>
    <xf numFmtId="0" fontId="11" fillId="12" borderId="0"/>
    <xf numFmtId="0" fontId="11" fillId="9" borderId="0"/>
    <xf numFmtId="0" fontId="11" fillId="9" borderId="0"/>
    <xf numFmtId="0" fontId="11" fillId="10" borderId="0"/>
    <xf numFmtId="0" fontId="11" fillId="10" borderId="0"/>
    <xf numFmtId="0" fontId="11" fillId="13" borderId="0"/>
    <xf numFmtId="0" fontId="11" fillId="13" borderId="0"/>
    <xf numFmtId="0" fontId="11" fillId="14" borderId="0"/>
    <xf numFmtId="0" fontId="11" fillId="14" borderId="0"/>
    <xf numFmtId="0" fontId="11" fillId="15" borderId="0"/>
    <xf numFmtId="0" fontId="11" fillId="15" borderId="0"/>
    <xf numFmtId="0" fontId="11" fillId="16" borderId="0"/>
    <xf numFmtId="0" fontId="11" fillId="16" borderId="0"/>
    <xf numFmtId="0" fontId="11" fillId="17" borderId="0"/>
    <xf numFmtId="0" fontId="11" fillId="17" borderId="0"/>
    <xf numFmtId="0" fontId="11" fillId="18" borderId="0"/>
    <xf numFmtId="0" fontId="11" fillId="18" borderId="0"/>
    <xf numFmtId="0" fontId="11" fillId="13" borderId="0"/>
    <xf numFmtId="0" fontId="11" fillId="13" borderId="0"/>
    <xf numFmtId="0" fontId="11" fillId="14" borderId="0"/>
    <xf numFmtId="0" fontId="11" fillId="14" borderId="0"/>
    <xf numFmtId="0" fontId="11" fillId="19" borderId="0"/>
    <xf numFmtId="0" fontId="11" fillId="19" borderId="0"/>
    <xf numFmtId="0" fontId="12" fillId="3" borderId="0"/>
    <xf numFmtId="0" fontId="12" fillId="3" borderId="0"/>
    <xf numFmtId="0" fontId="13" fillId="20" borderId="1"/>
    <xf numFmtId="0" fontId="13" fillId="20" borderId="1"/>
    <xf numFmtId="0" fontId="14" fillId="21" borderId="2"/>
    <xf numFmtId="0" fontId="14" fillId="21" borderId="2"/>
    <xf numFmtId="44" fontId="5" fillId="0" borderId="0"/>
    <xf numFmtId="44" fontId="7" fillId="0" borderId="0"/>
    <xf numFmtId="44" fontId="7" fillId="0" borderId="0"/>
    <xf numFmtId="0" fontId="15" fillId="0" borderId="0"/>
    <xf numFmtId="0" fontId="15" fillId="0" borderId="0"/>
    <xf numFmtId="0" fontId="16" fillId="4" borderId="0"/>
    <xf numFmtId="0" fontId="16" fillId="4" borderId="0"/>
    <xf numFmtId="0" fontId="17" fillId="0" borderId="3"/>
    <xf numFmtId="0" fontId="17" fillId="0" borderId="3"/>
    <xf numFmtId="0" fontId="18" fillId="0" borderId="4"/>
    <xf numFmtId="0" fontId="18" fillId="0" borderId="4"/>
    <xf numFmtId="0" fontId="19" fillId="0" borderId="5"/>
    <xf numFmtId="0" fontId="19" fillId="0" borderId="5"/>
    <xf numFmtId="0" fontId="19" fillId="0" borderId="0"/>
    <xf numFmtId="0" fontId="19" fillId="0" borderId="0"/>
    <xf numFmtId="0" fontId="26" fillId="0" borderId="0" applyAlignment="1" applyProtection="1">
      <alignment vertical="top"/>
      <protection locked="0" hidden="0"/>
    </xf>
    <xf numFmtId="0" fontId="20" fillId="7" borderId="1"/>
    <xf numFmtId="0" fontId="20" fillId="7" borderId="1"/>
    <xf numFmtId="0" fontId="21" fillId="0" borderId="6"/>
    <xf numFmtId="0" fontId="21" fillId="0" borderId="6"/>
    <xf numFmtId="0" fontId="22" fillId="22" borderId="0"/>
    <xf numFmtId="0" fontId="22" fillId="22" borderId="0"/>
    <xf numFmtId="0" fontId="7" fillId="0" borderId="0"/>
    <xf numFmtId="0" fontId="3" fillId="0" borderId="0"/>
    <xf numFmtId="0" fontId="7" fillId="23" borderId="7"/>
    <xf numFmtId="0" fontId="7" fillId="23" borderId="7"/>
    <xf numFmtId="0" fontId="23" fillId="20" borderId="8"/>
    <xf numFmtId="0" fontId="23" fillId="20" borderId="8"/>
    <xf numFmtId="0" fontId="24" fillId="0" borderId="0"/>
    <xf numFmtId="0" fontId="24" fillId="0" borderId="0"/>
    <xf numFmtId="0" fontId="1" fillId="0" borderId="9"/>
    <xf numFmtId="0" fontId="1" fillId="0" borderId="9"/>
    <xf numFmtId="0" fontId="25" fillId="0" borderId="0"/>
    <xf numFmtId="0" fontId="25" fillId="0" borderId="0"/>
  </cellStyleXfs>
  <cellXfs count="1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4" fillId="24" borderId="11" applyAlignment="1" pivotButton="0" quotePrefix="0" xfId="78">
      <alignment horizontal="center" vertical="top" wrapText="1"/>
    </xf>
    <xf numFmtId="14" fontId="4" fillId="24" borderId="11" applyAlignment="1" pivotButton="0" quotePrefix="0" xfId="78">
      <alignment horizontal="center" vertical="top" wrapText="1"/>
    </xf>
    <xf numFmtId="164" fontId="4" fillId="24" borderId="11" applyAlignment="1" pivotButton="0" quotePrefix="0" xfId="78">
      <alignment horizontal="center" vertical="top" wrapText="1"/>
    </xf>
    <xf numFmtId="21" fontId="4" fillId="24" borderId="11" applyAlignment="1" pivotButton="0" quotePrefix="0" xfId="78">
      <alignment horizontal="center" vertical="top" wrapText="1"/>
    </xf>
    <xf numFmtId="165" fontId="4" fillId="24" borderId="11" applyAlignment="1" pivotButton="0" quotePrefix="0" xfId="55">
      <alignment horizontal="center" vertical="top" wrapText="1"/>
    </xf>
    <xf numFmtId="0" fontId="6" fillId="0" borderId="0" applyAlignment="1" pivotButton="0" quotePrefix="0" xfId="0">
      <alignment horizontal="center" vertical="center" wrapText="1"/>
    </xf>
    <xf numFmtId="166" fontId="6" fillId="0" borderId="0" applyAlignment="1" applyProtection="1" pivotButton="0" quotePrefix="0" xfId="0">
      <alignment horizontal="center" vertical="center" wrapText="1"/>
      <protection locked="0" hidden="0"/>
    </xf>
    <xf numFmtId="1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56">
      <alignment horizontal="center" vertical="center" wrapText="1"/>
    </xf>
    <xf numFmtId="0" fontId="5" fillId="0" borderId="12" pivotButton="0" quotePrefix="0" xfId="0"/>
    <xf numFmtId="0" fontId="9" fillId="0" borderId="12" applyAlignment="1" pivotButton="0" quotePrefix="0" xfId="0">
      <alignment horizontal="center"/>
    </xf>
    <xf numFmtId="165" fontId="9" fillId="0" borderId="1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165" fontId="5" fillId="0" borderId="17" applyAlignment="1" pivotButton="0" quotePrefix="0" xfId="0">
      <alignment horizontal="center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26" fillId="0" borderId="0" pivotButton="0" quotePrefix="0" xfId="70"/>
    <xf numFmtId="0" fontId="5" fillId="0" borderId="10" applyAlignment="1" pivotButton="0" quotePrefix="0" xfId="0">
      <alignment horizontal="center"/>
    </xf>
    <xf numFmtId="165" fontId="6" fillId="0" borderId="0" applyAlignment="1" pivotButton="0" quotePrefix="0" xfId="55">
      <alignment horizontal="center" vertical="center" wrapText="1"/>
    </xf>
    <xf numFmtId="1" fontId="9" fillId="0" borderId="19" applyAlignment="1" pivotButton="0" quotePrefix="0" xfId="0">
      <alignment horizontal="center"/>
    </xf>
    <xf numFmtId="166" fontId="6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0" borderId="14" pivotButton="0" quotePrefix="0" xfId="0"/>
    <xf numFmtId="165" fontId="5" fillId="0" borderId="14" pivotButton="0" quotePrefix="0" xfId="55"/>
    <xf numFmtId="165" fontId="5" fillId="0" borderId="0" applyAlignment="1" pivotButton="0" quotePrefix="0" xfId="55">
      <alignment horizontal="center"/>
    </xf>
    <xf numFmtId="165" fontId="5" fillId="0" borderId="14" pivotButton="0" quotePrefix="0" xfId="0"/>
    <xf numFmtId="0" fontId="9" fillId="0" borderId="0" pivotButton="0" quotePrefix="0" xfId="0"/>
    <xf numFmtId="165" fontId="5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67" fontId="4" fillId="24" borderId="11" applyAlignment="1" pivotButton="0" quotePrefix="0" xfId="55">
      <alignment horizontal="center" vertical="top" wrapText="1"/>
    </xf>
    <xf numFmtId="167" fontId="0" fillId="0" borderId="0" pivotButton="0" quotePrefix="0" xfId="0"/>
    <xf numFmtId="0" fontId="0" fillId="0" borderId="0" pivotButton="1" quotePrefix="0" xfId="0"/>
    <xf numFmtId="168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4" fillId="24" borderId="11" applyAlignment="1" pivotButton="0" quotePrefix="0" xfId="55">
      <alignment horizontal="center" vertical="top" wrapText="1"/>
    </xf>
    <xf numFmtId="1" fontId="0" fillId="0" borderId="0" pivotButton="0" quotePrefix="0" xfId="0"/>
    <xf numFmtId="166" fontId="0" fillId="0" borderId="0" pivotButton="0" quotePrefix="0" xfId="0"/>
    <xf numFmtId="14" fontId="0" fillId="0" borderId="0" pivotButton="0" quotePrefix="0" xfId="0"/>
    <xf numFmtId="46" fontId="6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6" fillId="0" borderId="0" applyAlignment="1" pivotButton="0" quotePrefix="0" xfId="56">
      <alignment horizontal="center" vertical="center" wrapText="1"/>
    </xf>
    <xf numFmtId="17" fontId="0" fillId="0" borderId="0" pivotButton="0" quotePrefix="0" xfId="0"/>
    <xf numFmtId="1" fontId="7" fillId="0" borderId="0" pivotButton="0" quotePrefix="0" xfId="56"/>
    <xf numFmtId="169" fontId="6" fillId="0" borderId="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top" wrapText="1"/>
    </xf>
    <xf numFmtId="0" fontId="5" fillId="0" borderId="22" applyAlignment="1" pivotButton="0" quotePrefix="0" xfId="0">
      <alignment horizontal="center" vertical="top" wrapText="1"/>
    </xf>
    <xf numFmtId="0" fontId="5" fillId="0" borderId="23" applyAlignment="1" pivotButton="0" quotePrefix="0" xfId="0">
      <alignment horizontal="center" vertical="top" wrapText="1"/>
    </xf>
    <xf numFmtId="0" fontId="5" fillId="0" borderId="24" applyAlignment="1" pivotButton="0" quotePrefix="0" xfId="0">
      <alignment horizontal="center" vertical="top" wrapText="1"/>
    </xf>
    <xf numFmtId="0" fontId="5" fillId="0" borderId="25" applyAlignment="1" pivotButton="0" quotePrefix="0" xfId="0">
      <alignment horizontal="center" vertical="top" wrapText="1"/>
    </xf>
    <xf numFmtId="0" fontId="5" fillId="0" borderId="26" applyAlignment="1" pivotButton="0" quotePrefix="0" xfId="0">
      <alignment horizontal="center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27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70" fontId="0" fillId="0" borderId="10" applyAlignment="1" pivotButton="0" quotePrefix="0" xfId="0">
      <alignment horizontal="left"/>
    </xf>
    <xf numFmtId="0" fontId="26" fillId="0" borderId="20" pivotButton="0" quotePrefix="0" xfId="70"/>
    <xf numFmtId="0" fontId="0" fillId="0" borderId="20" pivotButton="0" quotePrefix="0" xfId="0"/>
    <xf numFmtId="0" fontId="5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9" fontId="9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8" fillId="0" borderId="12" applyAlignment="1" pivotButton="0" quotePrefix="0" xfId="0">
      <alignment horizontal="right"/>
    </xf>
    <xf numFmtId="9" fontId="9" fillId="0" borderId="28" applyAlignment="1" pivotButton="0" quotePrefix="0" xfId="0">
      <alignment horizontal="center"/>
    </xf>
    <xf numFmtId="165" fontId="9" fillId="0" borderId="18" applyAlignment="1" pivotButton="0" quotePrefix="0" xfId="0">
      <alignment horizontal="center"/>
    </xf>
    <xf numFmtId="0" fontId="0" fillId="0" borderId="10" pivotButton="0" quotePrefix="0" xfId="0"/>
    <xf numFmtId="170" fontId="0" fillId="0" borderId="10" applyAlignment="1" pivotButton="0" quotePrefix="0" xfId="0">
      <alignment horizontal="left"/>
    </xf>
    <xf numFmtId="164" fontId="4" fillId="24" borderId="11" applyAlignment="1" pivotButton="0" quotePrefix="0" xfId="78">
      <alignment horizontal="center" vertical="top" wrapText="1"/>
    </xf>
    <xf numFmtId="165" fontId="4" fillId="24" borderId="11" applyAlignment="1" pivotButton="0" quotePrefix="0" xfId="55">
      <alignment horizontal="center" vertical="top" wrapText="1"/>
    </xf>
    <xf numFmtId="164" fontId="6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55">
      <alignment horizontal="center" vertical="center" wrapText="1"/>
    </xf>
    <xf numFmtId="165" fontId="6" fillId="0" borderId="0" applyAlignment="1" pivotButton="0" quotePrefix="0" xfId="56">
      <alignment horizontal="center" vertical="center" wrapText="1"/>
    </xf>
    <xf numFmtId="1" fontId="9" fillId="0" borderId="28" applyAlignment="1" pivotButton="0" quotePrefix="0" xfId="0">
      <alignment horizontal="center"/>
    </xf>
    <xf numFmtId="165" fontId="9" fillId="0" borderId="18" applyAlignment="1" pivotButton="0" quotePrefix="0" xfId="0">
      <alignment horizontal="center"/>
    </xf>
    <xf numFmtId="0" fontId="0" fillId="0" borderId="11" applyAlignment="1" pivotButton="0" quotePrefix="0" xfId="0">
      <alignment horizontal="center" vertical="top" wrapText="1"/>
    </xf>
    <xf numFmtId="0" fontId="0" fillId="0" borderId="22" pivotButton="0" quotePrefix="0" xfId="0"/>
    <xf numFmtId="0" fontId="0" fillId="0" borderId="23" pivotButton="0" quotePrefix="0" xfId="0"/>
    <xf numFmtId="165" fontId="5" fillId="0" borderId="17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65" fontId="5" fillId="0" borderId="14" pivotButton="0" quotePrefix="0" xfId="55"/>
    <xf numFmtId="165" fontId="5" fillId="0" borderId="14" pivotButton="0" quotePrefix="0" xfId="0"/>
    <xf numFmtId="165" fontId="5" fillId="0" borderId="0" applyAlignment="1" pivotButton="0" quotePrefix="0" xfId="55">
      <alignment horizontal="center"/>
    </xf>
    <xf numFmtId="165" fontId="5" fillId="0" borderId="0" applyAlignment="1" pivotButton="0" quotePrefix="0" xfId="0">
      <alignment horizontal="center"/>
    </xf>
    <xf numFmtId="164" fontId="0" fillId="0" borderId="0" pivotButton="0" quotePrefix="0" xfId="0"/>
    <xf numFmtId="169" fontId="6" fillId="0" borderId="0" applyAlignment="1" pivotButton="0" quotePrefix="0" xfId="56">
      <alignment horizontal="center" vertical="center" wrapText="1"/>
    </xf>
    <xf numFmtId="169" fontId="6" fillId="0" borderId="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8" fillId="0" borderId="29" applyAlignment="1" pivotButton="0" quotePrefix="0" xfId="0">
      <alignment horizontal="right"/>
    </xf>
    <xf numFmtId="0" fontId="9" fillId="0" borderId="29" applyAlignment="1" pivotButton="0" quotePrefix="0" xfId="0">
      <alignment horizontal="center"/>
    </xf>
    <xf numFmtId="1" fontId="9" fillId="0" borderId="30" applyAlignment="1" pivotButton="0" quotePrefix="0" xfId="0">
      <alignment horizontal="center"/>
    </xf>
    <xf numFmtId="165" fontId="9" fillId="0" borderId="31" applyAlignment="1" pivotButton="0" quotePrefix="0" xfId="0">
      <alignment horizontal="center"/>
    </xf>
    <xf numFmtId="0" fontId="5" fillId="0" borderId="32" applyAlignment="1" pivotButton="0" quotePrefix="0" xfId="0">
      <alignment horizontal="center"/>
    </xf>
    <xf numFmtId="0" fontId="5" fillId="0" borderId="32" pivotButton="0" quotePrefix="0" xfId="0"/>
    <xf numFmtId="165" fontId="5" fillId="0" borderId="32" pivotButton="0" quotePrefix="0" xfId="55"/>
    <xf numFmtId="165" fontId="5" fillId="0" borderId="32" pivotButton="0" quotePrefix="0" xfId="0"/>
  </cellXfs>
  <cellStyles count="89">
    <cellStyle name="Normal" xfId="0" builtinId="0"/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Currency" xfId="55" builtinId="4"/>
    <cellStyle name="Currency 2" xfId="56"/>
    <cellStyle name="Currency 3" xfId="57"/>
    <cellStyle name="Explanatory Text 2" xfId="58"/>
    <cellStyle name="Explanatory Text 3" xfId="59"/>
    <cellStyle name="Good 2" xfId="60"/>
    <cellStyle name="Good 3" xfId="61"/>
    <cellStyle name="Heading 1 2" xfId="62"/>
    <cellStyle name="Heading 1 3" xfId="63"/>
    <cellStyle name="Heading 2 2" xfId="64"/>
    <cellStyle name="Heading 2 3" xfId="65"/>
    <cellStyle name="Heading 3 2" xfId="66"/>
    <cellStyle name="Heading 3 3" xfId="67"/>
    <cellStyle name="Heading 4 2" xfId="68"/>
    <cellStyle name="Heading 4 3" xfId="69"/>
    <cellStyle name="Hyperlink" xfId="70" builtinId="8"/>
    <cellStyle name="Input 2" xfId="71"/>
    <cellStyle name="Input 3" xfId="72"/>
    <cellStyle name="Linked Cell 2" xfId="73"/>
    <cellStyle name="Linked Cell 3" xfId="74"/>
    <cellStyle name="Neutral 2" xfId="75"/>
    <cellStyle name="Neutral 3" xfId="76"/>
    <cellStyle name="Normal 2" xfId="77"/>
    <cellStyle name="Normal_10 06 03" xfId="78"/>
    <cellStyle name="Note 2" xfId="79"/>
    <cellStyle name="Note 3" xfId="80"/>
    <cellStyle name="Output 2" xfId="81"/>
    <cellStyle name="Output 3" xfId="82"/>
    <cellStyle name="Title 2" xfId="83"/>
    <cellStyle name="Title 3" xfId="84"/>
    <cellStyle name="Total 2" xfId="85"/>
    <cellStyle name="Total 3" xfId="86"/>
    <cellStyle name="Warning Text 2" xfId="87"/>
    <cellStyle name="Warning Text 3" xfId="8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pivotCacheDefinition" Target="/xl/pivotCache/pivotCacheDefinition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Lee Hudson" refreshedDate="46127.67798773148" createdVersion="4" refreshedVersion="8" minRefreshableVersion="3" recordCount="25" r:id="rId1">
  <cacheSource type="worksheet">
    <worksheetSource ref="A1:AC1048576" sheet="Run Sheet"/>
  </cacheSource>
  <cacheFields count="29">
    <cacheField name="Bill Code" uniqueList="1" numFmtId="0" sqlType="0" hierarchy="0" level="0" databaseField="1">
      <sharedItems count="0" containsBlank="1"/>
    </cacheField>
    <cacheField name="Air Date" uniqueList="1" numFmtId="0" sqlType="0" hierarchy="0" level="0" databaseField="1">
      <sharedItems count="0" containsBlank="1"/>
    </cacheField>
    <cacheField name="End Date" uniqueList="1" numFmtId="0" sqlType="0" hierarchy="0" level="0" databaseField="1">
      <sharedItems count="0" containsBlank="1"/>
    </cacheField>
    <cacheField name="Day" uniqueList="1" numFmtId="0" sqlType="0" hierarchy="0" level="0" databaseField="1">
      <sharedItems count="0" containsBlank="1"/>
    </cacheField>
    <cacheField name="Time In" uniqueList="1" numFmtId="0" sqlType="0" hierarchy="0" level="0" databaseField="1">
      <sharedItems count="0" containsBlank="1"/>
    </cacheField>
    <cacheField name="Time out" uniqueList="1" numFmtId="0" sqlType="0" hierarchy="0" level="0" databaseField="1">
      <sharedItems count="0" containsBlank="1"/>
    </cacheField>
    <cacheField name="Length" uniqueList="1" numFmtId="0" sqlType="0" hierarchy="0" level="0" databaseField="1">
      <sharedItems count="0" containsBlank="1"/>
    </cacheField>
    <cacheField name="Media" uniqueList="1" numFmtId="0" sqlType="0" hierarchy="0" level="0" databaseField="1">
      <sharedItems count="0" containsBlank="1"/>
    </cacheField>
    <cacheField name="Program" uniqueList="1" numFmtId="0" sqlType="0" hierarchy="0" level="0" databaseField="1">
      <sharedItems count="0" containsBlank="1"/>
    </cacheField>
    <cacheField name="Lang." uniqueList="1" numFmtId="0" sqlType="0" hierarchy="0" level="0" databaseField="1">
      <sharedItems count="0" containsBlank="1"/>
    </cacheField>
    <cacheField name="Format" uniqueList="1" numFmtId="0" sqlType="0" hierarchy="0" level="0" databaseField="1">
      <sharedItems count="0" containsBlank="1" containsNonDate="0" containsString="0"/>
    </cacheField>
    <cacheField name="#" uniqueList="1" numFmtId="0" sqlType="0" hierarchy="0" level="0" databaseField="1">
      <sharedItems count="0" containsBlank="1" containsInteger="1" containsNumber="1" containsString="0" minValue="1" maxValue="1"/>
    </cacheField>
    <cacheField name="Line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0" containsBlank="1"/>
    </cacheField>
    <cacheField name="Estimate" uniqueList="1" numFmtId="0" sqlType="0" hierarchy="0" level="0" databaseField="1">
      <sharedItems count="0" containsBlank="1"/>
    </cacheField>
    <cacheField name="Gross Rate" uniqueList="1" numFmtId="0" sqlType="0" hierarchy="0" level="0" databaseField="1">
      <sharedItems count="0" containsBlank="1"/>
    </cacheField>
    <cacheField name="Make Good" uniqueList="1" numFmtId="0" sqlType="0" hierarchy="0" level="0" databaseField="1">
      <sharedItems count="0" containsBlank="1" containsNonDate="0" containsString="0"/>
    </cacheField>
    <cacheField name="Spot Value" uniqueList="1" numFmtId="0" sqlType="0" hierarchy="0" level="0" databaseField="1">
      <sharedItems count="0" containsBlank="1"/>
    </cacheField>
    <cacheField name="Month" uniqueList="1" numFmtId="0" sqlType="0" hierarchy="0" level="0" databaseField="1">
      <sharedItems count="52" containsBlank="1" containsDate="1" containsMixedTypes="1" minDate="2016-04-01T00:00:00" maxDate="2026-02-02T00:00:00">
        <s v="&lt;month&gt;"/>
        <m/>
        <d v="2026-01-01T00:00:00" u="1"/>
        <d v="2026-02-01T00:00:00" u="1"/>
        <d v="2025-11-01T00:00:00" u="1"/>
        <d v="2025-06-01T00:00:00" u="1"/>
        <d v="2025-07-01T00:00:00" u="1"/>
        <d v="2025-03-01T00:00:00" u="1"/>
        <d v="2025-01-01T00:00:00" u="1"/>
        <d v="2025-02-01T00:00:00" u="1"/>
        <d v="2024-12-01T00:00:00" u="1"/>
        <d v="2024-09-01T00:00:00" u="1"/>
        <d v="2024-08-01T00:00:00" u="1"/>
        <d v="2024-07-01T00:00:00" u="1"/>
        <d v="2024-05-01T00:00:00" u="1"/>
        <d v="2024-06-01T00:00:00" u="1"/>
        <d v="2024-04-01T00:00:00" u="1"/>
        <d v="2024-03-01T00:00:00" u="1"/>
        <d v="2024-02-01T00:00:00" u="1"/>
        <d v="2024-01-01T00:00:00" u="1"/>
        <d v="2023-12-01T00:00:00" u="1"/>
        <d v="2021-09-01T00:00:00" u="1"/>
        <d v="2022-09-01T00:00:00" u="1"/>
        <d v="2022-08-01T00:00:00" u="1"/>
        <d v="2016-07-01T00:00:00" u="1"/>
        <d v="2021-07-01T00:00:00" u="1"/>
        <d v="2022-07-01T00:00:00" u="1"/>
        <d v="2017-06-01T00:00:00" u="1"/>
        <d v="2021-06-01T00:00:00" u="1"/>
        <d v="2022-06-01T00:00:00" u="1"/>
        <d v="2016-05-01T00:00:00" u="1"/>
        <d v="2017-05-01T00:00:00" u="1"/>
        <d v="2021-05-01T00:00:00" u="1"/>
        <d v="2022-05-01T00:00:00" u="1"/>
        <d v="2016-04-01T00:00:00" u="1"/>
        <d v="2023-05-01T00:00:00" u="1"/>
        <d v="2023-04-01T00:00:00" u="1"/>
        <d v="2019-03-01T00:00:00" u="1"/>
        <d v="2023-03-01T00:00:00" u="1"/>
        <d v="2016-12-01T00:00:00" u="1"/>
        <d v="2019-02-01T00:00:00" u="1"/>
        <d v="2020-02-01T00:00:00" u="1"/>
        <d v="2021-02-01T00:00:00" u="1"/>
        <d v="2021-12-01T00:00:00" u="1"/>
        <d v="2022-02-01T00:00:00" u="1"/>
        <d v="2017-01-01T00:00:00" u="1"/>
        <d v="2021-11-01T00:00:00" u="1"/>
        <d v="2022-01-01T00:00:00" u="1"/>
        <d v="2016-10-01T00:00:00" u="1"/>
        <d v="2017-10-01T00:00:00" u="1"/>
        <d v="2016-09-01T00:00:00" u="1"/>
        <d v="2017-09-01T00:00:00" u="1"/>
      </sharedItems>
    </cacheField>
    <cacheField name="Broker Fees" uniqueList="1" numFmtId="0" sqlType="0" hierarchy="0" level="0" databaseField="1">
      <sharedItems count="0" containsBlank="1"/>
    </cacheField>
    <cacheField name="Priority" uniqueList="1" numFmtId="1" sqlType="0" hierarchy="0" level="0" databaseField="1">
      <sharedItems count="0" containsBlank="1"/>
    </cacheField>
    <cacheField name="Station Net" uniqueList="1" numFmtId="0" sqlType="0" hierarchy="0" level="0" databaseField="1">
      <sharedItems count="0" containsBlank="1"/>
    </cacheField>
    <cacheField name="Sales Person" uniqueList="1" numFmtId="0" sqlType="0" hierarchy="0" level="0" databaseField="1">
      <sharedItems count="0" containsBlank="1"/>
    </cacheField>
    <cacheField name="Revenue Type" uniqueList="1" numFmtId="0" sqlType="0" hierarchy="0" level="0" databaseField="1">
      <sharedItems count="0" containsBlank="1"/>
    </cacheField>
    <cacheField name="Billing Type" uniqueList="1" numFmtId="0" sqlType="0" hierarchy="0" level="0" databaseField="1">
      <sharedItems count="0" containsBlank="1"/>
    </cacheField>
    <cacheField name="Agency?" uniqueList="1" numFmtId="0" sqlType="0" hierarchy="0" level="0" databaseField="1">
      <sharedItems count="0" containsBlank="1"/>
    </cacheField>
    <cacheField name="Affidavit?" uniqueList="1" numFmtId="0" sqlType="0" hierarchy="0" level="0" databaseField="1">
      <sharedItems count="0" containsBlank="1"/>
    </cacheField>
    <cacheField name="Contract" uniqueList="1" numFmtId="0" sqlType="0" hierarchy="0" level="0" databaseField="1">
      <sharedItems count="0" containsBlank="1"/>
    </cacheField>
    <cacheField name="Market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25"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s v="&lt;agency&gt;:&lt;client&gt;"/>
    <s v="&lt;air_date&gt;"/>
    <s v="&lt;air_date&gt;"/>
    <s v="&lt;air_date&gt;"/>
    <s v="&lt;time_in&gt;"/>
    <s v="&lt;time_out&gt;"/>
    <s v="&lt;length&gt;"/>
    <s v="&lt;media&gt;"/>
    <s v="&lt;program&gt;"/>
    <s v="&lt;lang&gt;"/>
    <m/>
    <n v="1"/>
    <s v="&lt;line&gt;"/>
    <s v="&lt;type&gt;"/>
    <s v="&lt;estimate&gt;"/>
    <s v="&lt;gross_rate&gt;"/>
    <m/>
    <s v="&lt;gross_rate&gt;"/>
    <x v="0"/>
    <s v="&lt;broker_fees&gt;"/>
    <s v="&lt;priority&gt;"/>
    <s v="&lt;station_net&gt;"/>
    <s v="&lt;sales_person&gt;"/>
    <s v="&lt;revenue_type&gt;"/>
    <s v="&lt;billing_type&gt;"/>
    <s v="&lt;agency_flag&gt;"/>
    <s v="&lt;affidavit&gt;"/>
    <s v="&lt;contract&gt;"/>
    <s v="&lt;market&gt;"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  <r>
    <m/>
    <m/>
    <m/>
    <m/>
    <m/>
    <m/>
    <m/>
    <m/>
    <m/>
    <m/>
    <m/>
    <m/>
    <m/>
    <m/>
    <m/>
    <m/>
    <m/>
    <m/>
    <x v="1"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4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6" firstHeaderRow="0" firstDataRow="1" firstDataCol="1"/>
  <pivotFields count="2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3">
        <item t="data" sd="1" m="1" x="24"/>
        <item t="data" sd="1" x="1"/>
        <item t="data" sd="1" m="1" x="50"/>
        <item t="data" sd="1" m="1" x="39"/>
        <item t="data" sd="1" m="1" x="45"/>
        <item t="data" sd="1" m="1" x="34"/>
        <item t="data" sd="1" m="1" x="30"/>
        <item t="data" sd="1" m="1" x="48"/>
        <item t="data" sd="1" m="1" x="31"/>
        <item t="data" sd="1" m="1" x="27"/>
        <item t="data" sd="1" m="1" x="51"/>
        <item t="data" sd="1" m="1" x="49"/>
        <item t="data" sd="1" m="1" x="40"/>
        <item t="data" sd="1" m="1" x="37"/>
        <item t="data" sd="1" m="1" x="41"/>
        <item t="data" sd="1" m="1" x="42"/>
        <item t="data" sd="1" m="1" x="32"/>
        <item t="data" sd="1" m="1" x="28"/>
        <item t="data" sd="1" m="1" x="25"/>
        <item t="data" sd="1" m="1" x="21"/>
        <item t="data" sd="1" m="1" x="46"/>
        <item t="data" sd="1" m="1" x="43"/>
        <item t="data" sd="1" m="1" x="47"/>
        <item t="data" sd="1" m="1" x="44"/>
        <item t="data" sd="1" m="1" x="33"/>
        <item t="data" sd="1" m="1" x="29"/>
        <item t="data" sd="1" m="1" x="26"/>
        <item t="data" sd="1" m="1" x="23"/>
        <item t="data" sd="1" m="1" x="22"/>
        <item t="data" sd="1" m="1" x="38"/>
        <item t="data" sd="1" m="1" x="36"/>
        <item t="data" sd="1" m="1" x="35"/>
        <item t="data" sd="1" m="1" x="20"/>
        <item t="data" sd="1" m="1" x="19"/>
        <item t="data" sd="1" m="1" x="18"/>
        <item t="data" sd="1" m="1" x="17"/>
        <item t="data" sd="1" m="1" x="16"/>
        <item t="data" sd="1" m="1" x="14"/>
        <item t="data" sd="1" m="1" x="15"/>
        <item t="data" sd="1" m="1" x="13"/>
        <item t="data" sd="1" m="1" x="12"/>
        <item t="data" sd="1" m="1" x="11"/>
        <item t="data" sd="1" m="1" x="10"/>
        <item t="data" sd="1" m="1" x="8"/>
        <item t="data" sd="1" m="1" x="9"/>
        <item t="data" sd="1" m="1" x="7"/>
        <item t="data" sd="1" m="1" x="5"/>
        <item t="data" sd="1" m="1" x="6"/>
        <item t="data" sd="1" m="1" x="4"/>
        <item t="data" sd="1" m="1" x="2"/>
        <item t="data" sd="1" m="1" x="3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8"/>
  </rowFields>
  <rowItems count="3">
    <i t="data" r="0" i="0">
      <x v="1"/>
    </i>
    <i t="data" r="0" i="0">
      <x v="51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Gross Rate" fld="15" subtotal="sum" showDataAs="normal" baseField="18" baseItem="0" numFmtId="168"/>
    <dataField name="Sum of Station Net" fld="21" subtotal="sum" showDataAs="normal" baseField="18" baseItem="6" numFmtId="16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lee@handlpartners.com" TargetMode="External" Id="rId1" /><Relationship Type="http://schemas.openxmlformats.org/officeDocument/2006/relationships/hyperlink" Target="mailto:jlee@handlpartners.com" TargetMode="External" Id="rId2" /><Relationship Type="http://schemas.openxmlformats.org/officeDocument/2006/relationships/hyperlink" Target="mailto:jlee@handlpartners.com" TargetMode="External" Id="rId3" /><Relationship Type="http://schemas.openxmlformats.org/officeDocument/2006/relationships/hyperlink" Target="mailto:jlee@handlpartners.com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 codeName="Sheet40">
    <outlinePr summaryBelow="1" summaryRight="1"/>
    <pageSetUpPr fitToPage="1"/>
  </sheetPr>
  <dimension ref="B1:V36"/>
  <sheetViews>
    <sheetView tabSelected="1" topLeftCell="B1" workbookViewId="0">
      <selection activeCell="L30" sqref="L30"/>
    </sheetView>
  </sheetViews>
  <sheetFormatPr baseColWidth="8" defaultColWidth="0" defaultRowHeight="15" customHeight="1"/>
  <cols>
    <col hidden="1" width="23.28515625" customWidth="1" style="23" min="1" max="1"/>
    <col width="11" customWidth="1" style="24" min="2" max="2"/>
    <col hidden="1" width="10.7109375" customWidth="1" style="24" min="3" max="3"/>
    <col width="10.7109375" customWidth="1" style="24" min="4" max="4"/>
    <col width="10.85546875" customWidth="1" style="24" min="5" max="5"/>
    <col width="10.140625" bestFit="1" customWidth="1" style="24" min="6" max="6"/>
    <col width="7.140625" bestFit="1" customWidth="1" style="24" min="7" max="7"/>
    <col width="25.28515625" customWidth="1" style="23" min="8" max="8"/>
    <col width="11.42578125" customWidth="1" style="24" min="9" max="9"/>
    <col width="5.85546875" customWidth="1" style="24" min="10" max="10"/>
    <col hidden="1" width="6.42578125" customWidth="1" style="24" min="11" max="11"/>
    <col width="10" customWidth="1" style="24" min="12" max="12"/>
    <col hidden="1" width="10" customWidth="1" style="24" min="13" max="13"/>
    <col width="11.5703125" customWidth="1" style="24" min="14" max="15"/>
    <col width="14" customWidth="1" style="24" min="16" max="16"/>
    <col width="11.28515625" bestFit="1" customWidth="1" style="24" min="17" max="17"/>
    <col hidden="1" width="9.85546875" customWidth="1" style="23" min="18" max="18"/>
    <col hidden="1" width="6.7109375" customWidth="1" style="23" min="19" max="19"/>
    <col hidden="1" width="10.5703125" customWidth="1" style="23" min="20" max="20"/>
    <col hidden="1" width="26.5703125" customWidth="1" style="23" min="21" max="21"/>
    <col hidden="1" width="10.140625" customWidth="1" style="23" min="22" max="22"/>
    <col hidden="1" width="11" customWidth="1" style="23" min="23" max="23"/>
    <col hidden="1" width="11.7109375" customWidth="1" style="23" min="24" max="24"/>
    <col hidden="1" width="10.140625" customWidth="1" style="23" min="25" max="25"/>
    <col hidden="1" width="7.140625" customWidth="1" style="23" min="26" max="26"/>
    <col hidden="1" width="8.42578125" customWidth="1" style="23" min="27" max="28"/>
    <col hidden="1" width="6.42578125" customWidth="1" style="23" min="29" max="29"/>
    <col hidden="1" width="13" customWidth="1" style="23" min="30" max="36"/>
    <col hidden="1" width="149.140625" customWidth="1" style="23" min="37" max="16384"/>
  </cols>
  <sheetData>
    <row r="1" ht="15" customHeight="1">
      <c r="B1" s="62" t="n"/>
      <c r="C1" s="2" t="n"/>
      <c r="D1" s="2" t="n"/>
      <c r="E1" s="2" t="n"/>
      <c r="F1" s="80" t="inlineStr">
        <is>
          <t>SALES CONFIRMATION - CROSSINGS TV</t>
        </is>
      </c>
      <c r="M1" s="2" t="n"/>
      <c r="N1" s="2" t="n"/>
      <c r="O1" s="2" t="n"/>
      <c r="P1" s="2" t="n"/>
      <c r="Q1" s="2" t="n"/>
    </row>
    <row r="2" ht="15" customHeight="1">
      <c r="B2" s="78" t="n"/>
      <c r="C2" s="2" t="n"/>
      <c r="D2" s="2" t="n"/>
      <c r="E2" s="2" t="n"/>
      <c r="F2" s="2" t="n"/>
      <c r="G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5" customHeight="1">
      <c r="B3" s="62" t="inlineStr">
        <is>
          <t>Client</t>
        </is>
      </c>
      <c r="C3" s="2" t="n"/>
      <c r="D3" s="64" t="inlineStr">
        <is>
          <t>&lt;agency&gt;</t>
        </is>
      </c>
      <c r="E3" s="86" t="n"/>
      <c r="F3" s="86" t="n"/>
      <c r="G3" s="86" t="n"/>
      <c r="I3" s="78" t="inlineStr">
        <is>
          <t>Advertiser</t>
        </is>
      </c>
      <c r="J3" s="2" t="n"/>
      <c r="K3" s="2" t="n"/>
      <c r="L3" s="65" t="inlineStr">
        <is>
          <t>&lt;client&gt;</t>
        </is>
      </c>
    </row>
    <row r="4" ht="15" customHeight="1">
      <c r="B4" s="62" t="inlineStr">
        <is>
          <t>Contact</t>
        </is>
      </c>
      <c r="C4" s="2" t="n"/>
      <c r="D4" s="66" t="inlineStr">
        <is>
          <t>&lt;contact_person&gt;</t>
        </is>
      </c>
      <c r="E4" s="70" t="n"/>
      <c r="F4" s="70" t="n"/>
      <c r="G4" s="70" t="n"/>
      <c r="I4" s="78" t="inlineStr">
        <is>
          <t>Estimate</t>
        </is>
      </c>
      <c r="L4" s="65" t="inlineStr">
        <is>
          <t>&lt;estimate&gt;</t>
        </is>
      </c>
    </row>
    <row r="5" ht="15" customHeight="1">
      <c r="B5" s="62" t="inlineStr">
        <is>
          <t>Address</t>
        </is>
      </c>
      <c r="C5" s="2" t="n"/>
      <c r="D5" s="65" t="inlineStr">
        <is>
          <t>&lt;address&gt;</t>
        </is>
      </c>
      <c r="E5" s="2" t="n"/>
      <c r="F5" s="2" t="n"/>
      <c r="G5" s="2" t="n"/>
      <c r="I5" s="78" t="inlineStr">
        <is>
          <t>Billing Type</t>
        </is>
      </c>
      <c r="J5" s="2" t="n"/>
      <c r="K5" s="2" t="n"/>
      <c r="L5" s="65" t="inlineStr">
        <is>
          <t>&lt;billing_type&gt;</t>
        </is>
      </c>
    </row>
    <row r="6" ht="15" customHeight="1">
      <c r="B6" s="62" t="n"/>
      <c r="C6" s="2" t="n"/>
      <c r="D6" s="64" t="inlineStr">
        <is>
          <t>&lt;city&gt;</t>
        </is>
      </c>
      <c r="E6" s="86" t="n"/>
      <c r="F6" s="38" t="inlineStr">
        <is>
          <t>&lt;state&gt;</t>
        </is>
      </c>
      <c r="G6" s="38" t="inlineStr">
        <is>
          <t>&lt;zip&gt;</t>
        </is>
      </c>
      <c r="I6" s="78" t="inlineStr">
        <is>
          <t>Market</t>
        </is>
      </c>
      <c r="J6" s="2" t="n"/>
      <c r="K6" s="2" t="n"/>
      <c r="L6" s="65" t="inlineStr">
        <is>
          <t>&lt;market&gt;</t>
        </is>
      </c>
    </row>
    <row r="7" ht="15" customHeight="1">
      <c r="B7" s="2" t="n"/>
      <c r="C7" s="2" t="n"/>
      <c r="D7" s="65" t="n"/>
      <c r="E7" s="2" t="n"/>
      <c r="F7" s="2" t="n"/>
      <c r="G7" s="2" t="n"/>
    </row>
    <row r="8" ht="15" customHeight="1">
      <c r="B8" s="62" t="inlineStr">
        <is>
          <t>Phone</t>
        </is>
      </c>
      <c r="C8" s="2" t="n"/>
      <c r="D8" s="87" t="inlineStr">
        <is>
          <t>&lt;phone&gt;</t>
        </is>
      </c>
      <c r="E8" s="86" t="n"/>
      <c r="F8" s="86" t="n"/>
      <c r="G8" s="86" t="n"/>
      <c r="I8" s="78" t="inlineStr">
        <is>
          <t>Date Order Written</t>
        </is>
      </c>
      <c r="J8" s="2" t="n"/>
      <c r="K8" s="2" t="n"/>
      <c r="L8" s="67" t="inlineStr">
        <is>
          <t>&lt;order_date&gt;</t>
        </is>
      </c>
    </row>
    <row r="9" ht="15" customHeight="1">
      <c r="B9" s="62" t="inlineStr">
        <is>
          <t>Fax</t>
        </is>
      </c>
      <c r="C9" s="2" t="n"/>
      <c r="D9" s="87" t="inlineStr">
        <is>
          <t>&lt;fax&gt;</t>
        </is>
      </c>
      <c r="E9" s="86" t="n"/>
      <c r="F9" s="86" t="n"/>
      <c r="G9" s="86" t="n"/>
      <c r="I9" s="78" t="inlineStr">
        <is>
          <t>Contract Number</t>
        </is>
      </c>
      <c r="J9" s="2" t="n"/>
      <c r="K9" s="2" t="n"/>
      <c r="L9" s="65" t="inlineStr">
        <is>
          <t>&lt;contract&gt;</t>
        </is>
      </c>
      <c r="M9" s="65" t="n"/>
      <c r="N9" s="65" t="n"/>
      <c r="O9" s="65" t="n"/>
      <c r="P9" s="65" t="n"/>
      <c r="Q9" s="65" t="n"/>
    </row>
    <row r="10" ht="15" customHeight="1">
      <c r="B10" s="62" t="inlineStr">
        <is>
          <t>Email</t>
        </is>
      </c>
      <c r="C10" s="2" t="n"/>
      <c r="D10" s="69" t="inlineStr">
        <is>
          <t>&lt;email_1&gt;</t>
        </is>
      </c>
      <c r="E10" s="70" t="n"/>
      <c r="F10" s="70" t="n"/>
      <c r="G10" s="70" t="n"/>
      <c r="I10" s="78" t="inlineStr">
        <is>
          <t>Revision</t>
        </is>
      </c>
      <c r="L10" s="65" t="n">
        <v>0</v>
      </c>
    </row>
    <row r="11" ht="15" customHeight="1">
      <c r="B11" s="62" t="inlineStr">
        <is>
          <t>Email</t>
        </is>
      </c>
      <c r="C11" s="2" t="n"/>
      <c r="D11" s="69" t="inlineStr">
        <is>
          <t>&lt;email_2&gt;</t>
        </is>
      </c>
      <c r="E11" s="70" t="n"/>
      <c r="F11" s="70" t="n"/>
      <c r="G11" s="70" t="n"/>
      <c r="I11" s="78" t="inlineStr">
        <is>
          <t>Station Representative</t>
        </is>
      </c>
      <c r="J11" s="2" t="n"/>
      <c r="K11" s="65" t="inlineStr">
        <is>
          <t>&lt;sales_person&gt;</t>
        </is>
      </c>
    </row>
    <row r="12" ht="15" customHeight="1">
      <c r="B12" s="62" t="inlineStr">
        <is>
          <t>Email</t>
        </is>
      </c>
      <c r="C12" s="2" t="n"/>
      <c r="D12" s="69" t="inlineStr">
        <is>
          <t>&lt;email_3&gt;</t>
        </is>
      </c>
      <c r="E12" s="70" t="n"/>
      <c r="F12" s="70" t="n"/>
      <c r="G12" s="70" t="n"/>
      <c r="I12" s="78" t="n"/>
      <c r="J12" s="2" t="n"/>
      <c r="K12" s="65" t="n"/>
      <c r="L12" s="65" t="n"/>
      <c r="M12" s="65" t="n"/>
      <c r="N12" s="65" t="n"/>
      <c r="O12" s="65" t="n"/>
      <c r="P12" s="65" t="n"/>
      <c r="Q12" s="65" t="n"/>
    </row>
    <row r="13" ht="15" customHeight="1">
      <c r="B13" s="62" t="inlineStr">
        <is>
          <t>Email</t>
        </is>
      </c>
      <c r="C13" s="2" t="n"/>
      <c r="D13" s="69" t="inlineStr">
        <is>
          <t>&lt;email_4&gt;</t>
        </is>
      </c>
      <c r="E13" s="70" t="n"/>
      <c r="F13" s="70" t="n"/>
      <c r="G13" s="70" t="n"/>
      <c r="I13" s="78" t="n"/>
      <c r="J13" s="2" t="n"/>
      <c r="K13" s="65" t="n"/>
      <c r="L13" s="65" t="n"/>
      <c r="M13" s="65" t="n"/>
      <c r="N13" s="65" t="n"/>
      <c r="O13" s="65" t="n"/>
      <c r="P13" s="65" t="n"/>
      <c r="Q13" s="65" t="n"/>
    </row>
    <row r="14" ht="15" customHeight="1">
      <c r="B14" s="62" t="n"/>
      <c r="C14" s="2" t="n"/>
      <c r="D14" s="26" t="n"/>
      <c r="I14" s="78" t="n"/>
      <c r="J14" s="2" t="n"/>
      <c r="K14" s="65" t="n"/>
      <c r="L14" s="65" t="n"/>
      <c r="M14" s="65" t="n"/>
      <c r="N14" s="65" t="n"/>
      <c r="O14" s="65" t="n"/>
      <c r="P14" s="65" t="n"/>
      <c r="Q14" s="65" t="n"/>
    </row>
    <row r="15" ht="36.75" customFormat="1" customHeight="1" s="5">
      <c r="B15" s="6" t="inlineStr">
        <is>
          <t>Line Number</t>
        </is>
      </c>
      <c r="C15" s="6" t="n"/>
      <c r="D15" s="5" t="inlineStr">
        <is>
          <t>Start Date</t>
        </is>
      </c>
      <c r="E15" s="88" t="inlineStr">
        <is>
          <t>End Date</t>
        </is>
      </c>
      <c r="F15" s="88" t="inlineStr">
        <is>
          <t># spt per</t>
        </is>
      </c>
      <c r="G15" s="88" t="inlineStr">
        <is>
          <t>Per ____</t>
        </is>
      </c>
      <c r="H15" s="8" t="inlineStr">
        <is>
          <t>TP/Program/Lang Ordered</t>
        </is>
      </c>
      <c r="I15" s="88" t="inlineStr">
        <is>
          <t># of days, wks, mos</t>
        </is>
      </c>
      <c r="J15" s="5" t="inlineStr">
        <is>
          <t>Spot type</t>
        </is>
      </c>
      <c r="L15" s="5" t="inlineStr">
        <is>
          <t>Total # of Units</t>
        </is>
      </c>
      <c r="N15" s="5" t="inlineStr">
        <is>
          <t>Length</t>
        </is>
      </c>
      <c r="O15" s="89" t="inlineStr">
        <is>
          <t>Gross Unit Rate</t>
        </is>
      </c>
      <c r="P15" s="5" t="inlineStr">
        <is>
          <t>Gross Line Total</t>
        </is>
      </c>
      <c r="R15" s="89" t="n"/>
      <c r="S15" s="89" t="n"/>
      <c r="T15" s="89" t="n"/>
      <c r="U15" s="89" t="n"/>
      <c r="V15" s="89" t="n"/>
    </row>
    <row r="16" ht="18.75" customFormat="1" customHeight="1" s="72">
      <c r="B16" s="73" t="n">
        <v>1</v>
      </c>
      <c r="C16" s="11" t="n"/>
      <c r="D16" s="12" t="inlineStr">
        <is>
          <t>&lt;date_range_start&gt;</t>
        </is>
      </c>
      <c r="E16" s="12" t="inlineStr">
        <is>
          <t>&lt;date_range_end&gt;</t>
        </is>
      </c>
      <c r="F16" s="73" t="inlineStr">
        <is>
          <t>&lt;spot_count&gt;</t>
        </is>
      </c>
      <c r="G16" s="90" t="inlineStr">
        <is>
          <t>&lt;per&gt;</t>
        </is>
      </c>
      <c r="H16" s="72" t="inlineStr">
        <is>
          <t>&lt;line_description&gt;</t>
        </is>
      </c>
      <c r="I16" s="73" t="n">
        <v>1</v>
      </c>
      <c r="J16" s="73" t="inlineStr">
        <is>
          <t>&lt;type&gt;</t>
        </is>
      </c>
      <c r="L16" s="73">
        <f>F16*I16</f>
        <v/>
      </c>
      <c r="N16" s="73" t="inlineStr">
        <is>
          <t>&lt;length&gt;</t>
        </is>
      </c>
      <c r="O16" s="91" t="inlineStr">
        <is>
          <t xml:space="preserve"> &lt;gross_rate&gt;</t>
        </is>
      </c>
      <c r="P16" s="91">
        <f>L16*O16</f>
        <v/>
      </c>
      <c r="R16" s="92" t="n"/>
      <c r="T16" s="92" t="n"/>
      <c r="U16" s="92" t="n"/>
      <c r="V16" s="92" t="n"/>
    </row>
    <row r="17" ht="18.75" customFormat="1" customHeight="1" s="72">
      <c r="B17" s="73" t="n">
        <v>2</v>
      </c>
      <c r="C17" s="11" t="n"/>
      <c r="D17" s="12" t="inlineStr">
        <is>
          <t>&lt;date_range_start&gt;</t>
        </is>
      </c>
      <c r="E17" s="12" t="inlineStr">
        <is>
          <t>&lt;date_range_end&gt;</t>
        </is>
      </c>
      <c r="F17" s="73" t="inlineStr">
        <is>
          <t>&lt;spot_count&gt;</t>
        </is>
      </c>
      <c r="G17" s="90" t="inlineStr">
        <is>
          <t>&lt;per&gt;</t>
        </is>
      </c>
      <c r="H17" s="72" t="inlineStr">
        <is>
          <t>&lt;line_description&gt;</t>
        </is>
      </c>
      <c r="I17" s="73" t="n">
        <v>1</v>
      </c>
      <c r="J17" s="73" t="inlineStr">
        <is>
          <t>&lt;type&gt;</t>
        </is>
      </c>
      <c r="L17" s="73">
        <f>F17*I17</f>
        <v/>
      </c>
      <c r="N17" s="73" t="inlineStr">
        <is>
          <t>&lt;length&gt;</t>
        </is>
      </c>
      <c r="O17" s="91" t="inlineStr">
        <is>
          <t xml:space="preserve"> &lt;gross_rate&gt;</t>
        </is>
      </c>
      <c r="P17" s="91">
        <f>L17*O17</f>
        <v/>
      </c>
      <c r="R17" s="92" t="n"/>
      <c r="T17" s="92" t="n"/>
      <c r="U17" s="92" t="n"/>
      <c r="V17" s="92" t="n"/>
    </row>
    <row r="18" ht="18.75" customFormat="1" customHeight="1" s="72">
      <c r="B18" s="73" t="n">
        <v>3</v>
      </c>
      <c r="C18" s="11" t="n"/>
      <c r="D18" s="12" t="inlineStr">
        <is>
          <t>&lt;date_range_start&gt;</t>
        </is>
      </c>
      <c r="E18" s="12" t="inlineStr">
        <is>
          <t>&lt;date_range_end&gt;</t>
        </is>
      </c>
      <c r="F18" s="73" t="inlineStr">
        <is>
          <t>&lt;spot_count&gt;</t>
        </is>
      </c>
      <c r="G18" s="90" t="inlineStr">
        <is>
          <t>&lt;per&gt;</t>
        </is>
      </c>
      <c r="H18" s="72" t="inlineStr">
        <is>
          <t>&lt;line_description&gt;</t>
        </is>
      </c>
      <c r="I18" s="73" t="n">
        <v>1</v>
      </c>
      <c r="J18" s="73" t="inlineStr">
        <is>
          <t>&lt;type&gt;</t>
        </is>
      </c>
      <c r="L18" s="73">
        <f>F18*I18</f>
        <v/>
      </c>
      <c r="N18" s="73" t="inlineStr">
        <is>
          <t>&lt;length&gt;</t>
        </is>
      </c>
      <c r="O18" s="91" t="inlineStr">
        <is>
          <t xml:space="preserve"> &lt;gross_rate&gt;</t>
        </is>
      </c>
      <c r="P18" s="91">
        <f>L18*O18</f>
        <v/>
      </c>
      <c r="R18" s="92" t="n"/>
      <c r="T18" s="92" t="n"/>
      <c r="U18" s="92" t="n"/>
      <c r="V18" s="92" t="n"/>
    </row>
    <row r="19" ht="18.75" customFormat="1" customHeight="1" s="72" thickBot="1">
      <c r="B19" s="73" t="n">
        <v>4</v>
      </c>
      <c r="C19" s="11" t="n"/>
      <c r="D19" s="12" t="inlineStr">
        <is>
          <t>&lt;date_range_start&gt;</t>
        </is>
      </c>
      <c r="E19" s="12" t="inlineStr">
        <is>
          <t>&lt;date_range_end&gt;</t>
        </is>
      </c>
      <c r="F19" s="73" t="inlineStr">
        <is>
          <t>&lt;spot_count&gt;</t>
        </is>
      </c>
      <c r="G19" s="90" t="inlineStr">
        <is>
          <t>&lt;per&gt;</t>
        </is>
      </c>
      <c r="H19" s="72" t="inlineStr">
        <is>
          <t>&lt;line_description&gt;</t>
        </is>
      </c>
      <c r="I19" s="73" t="n">
        <v>1</v>
      </c>
      <c r="J19" s="73" t="inlineStr">
        <is>
          <t>&lt;type&gt;</t>
        </is>
      </c>
      <c r="K19" s="72" t="n"/>
      <c r="L19" s="73">
        <f>F19*I19</f>
        <v/>
      </c>
      <c r="M19" s="72" t="n"/>
      <c r="N19" s="73" t="inlineStr">
        <is>
          <t>&lt;length&gt;</t>
        </is>
      </c>
      <c r="O19" s="91" t="inlineStr">
        <is>
          <t xml:space="preserve"> &lt;gross_rate&gt;</t>
        </is>
      </c>
      <c r="P19" s="91">
        <f>L19*O19</f>
        <v/>
      </c>
      <c r="Q19" s="72" t="n"/>
      <c r="R19" s="92" t="n"/>
      <c r="T19" s="92" t="n"/>
      <c r="U19" s="92" t="n"/>
      <c r="V19" s="92" t="n"/>
    </row>
    <row r="20" ht="15" customFormat="1" customHeight="1" s="15" thickTop="1">
      <c r="B20" s="110" t="n"/>
      <c r="C20" s="110" t="n"/>
      <c r="D20" s="111" t="n"/>
      <c r="E20" s="110" t="n"/>
      <c r="F20" s="110" t="n"/>
      <c r="G20" s="110" t="n"/>
      <c r="H20" s="112" t="n"/>
      <c r="I20" s="112" t="inlineStr">
        <is>
          <t>Gross Amount</t>
        </is>
      </c>
      <c r="J20" s="113" t="n"/>
      <c r="K20" s="113" t="n"/>
      <c r="L20" s="114">
        <f>SUM(L16:L19)</f>
        <v/>
      </c>
      <c r="M20" s="113" t="n"/>
      <c r="N20" s="113" t="inlineStr">
        <is>
          <t>spots</t>
        </is>
      </c>
      <c r="O20" s="113" t="n"/>
      <c r="P20" s="115" t="inlineStr">
        <is>
          <t>&lt;total_gross&gt;</t>
        </is>
      </c>
      <c r="Q20" s="116" t="n"/>
    </row>
    <row r="21" ht="15" customFormat="1" customHeight="1" s="79">
      <c r="B21" s="80" t="inlineStr">
        <is>
          <t>Additional Notes</t>
        </is>
      </c>
      <c r="H21" s="74" t="n"/>
      <c r="I21" s="74" t="inlineStr">
        <is>
          <t>Agency Discount</t>
        </is>
      </c>
      <c r="J21" s="75" t="n"/>
      <c r="K21" s="75" t="n"/>
      <c r="L21" s="84" t="n">
        <v>0.15</v>
      </c>
      <c r="M21" s="75" t="n"/>
      <c r="N21" s="75" t="n"/>
      <c r="O21" s="77" t="n"/>
      <c r="P21" s="94">
        <f>-1*(L21*P20)</f>
        <v/>
      </c>
      <c r="Q21" s="76" t="n"/>
    </row>
    <row r="22" ht="15" customFormat="1" customHeight="1" s="79" thickBot="1">
      <c r="B22" s="95" t="inlineStr">
        <is>
          <t>&lt;notes&gt;</t>
        </is>
      </c>
      <c r="C22" s="96" t="n"/>
      <c r="D22" s="96" t="n"/>
      <c r="E22" s="96" t="n"/>
      <c r="F22" s="96" t="n"/>
      <c r="G22" s="97" t="n"/>
      <c r="H22" s="78" t="n"/>
      <c r="I22" s="78" t="inlineStr">
        <is>
          <t>Net Amount of Contract</t>
        </is>
      </c>
      <c r="J22" s="76" t="n"/>
      <c r="K22" s="76" t="n"/>
      <c r="L22" s="20" t="n"/>
      <c r="M22" s="21" t="n"/>
      <c r="N22" s="21" t="n"/>
      <c r="O22" s="21" t="n"/>
      <c r="P22" s="98" t="inlineStr">
        <is>
          <t>&lt;total_net&gt;</t>
        </is>
      </c>
      <c r="Q22" s="76" t="n"/>
    </row>
    <row r="23" ht="15" customFormat="1" customHeight="1" s="79" thickTop="1">
      <c r="B23" s="99" t="n"/>
      <c r="G23" s="100" t="n"/>
      <c r="H23" s="79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</row>
    <row r="24" ht="15" customFormat="1" customHeight="1" s="79">
      <c r="B24" s="99" t="n"/>
      <c r="G24" s="100" t="n"/>
      <c r="I24" s="78" t="inlineStr">
        <is>
          <t>Client Signature</t>
        </is>
      </c>
      <c r="J24" s="76" t="n"/>
      <c r="K24" s="76" t="n"/>
      <c r="L24" s="27" t="n"/>
      <c r="M24" s="27" t="n"/>
      <c r="N24" s="27" t="n"/>
      <c r="O24" s="27" t="n"/>
      <c r="P24" s="27" t="n"/>
      <c r="Q24" s="76" t="n"/>
    </row>
    <row r="25" ht="15" customFormat="1" customHeight="1" s="79">
      <c r="B25" s="99" t="n"/>
      <c r="G25" s="100" t="n"/>
      <c r="I25" s="78" t="n"/>
      <c r="J25" s="76" t="n"/>
      <c r="K25" s="76" t="n"/>
      <c r="L25" s="76" t="n"/>
      <c r="M25" s="76" t="n"/>
      <c r="N25" s="76" t="n"/>
      <c r="O25" s="76" t="n"/>
      <c r="P25" s="76" t="n"/>
      <c r="Q25" s="76" t="n"/>
    </row>
    <row r="26" ht="15" customFormat="1" customHeight="1" s="79">
      <c r="B26" s="99" t="n"/>
      <c r="G26" s="100" t="n"/>
      <c r="I26" s="78" t="inlineStr">
        <is>
          <t>Station Rep Signature</t>
        </is>
      </c>
      <c r="J26" s="76" t="n"/>
      <c r="K26" s="76" t="n"/>
      <c r="L26" s="27" t="n"/>
      <c r="M26" s="27" t="n"/>
      <c r="N26" s="27" t="n"/>
      <c r="O26" s="27" t="n"/>
      <c r="P26" s="27" t="n"/>
      <c r="Q26" s="76" t="n"/>
    </row>
    <row r="27" ht="15" customFormat="1" customHeight="1" s="79">
      <c r="B27" s="101" t="n"/>
      <c r="C27" s="86" t="n"/>
      <c r="D27" s="86" t="n"/>
      <c r="E27" s="86" t="n"/>
      <c r="F27" s="86" t="n"/>
      <c r="G27" s="102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76" t="n"/>
    </row>
    <row r="28" ht="15" customFormat="1" customHeight="1" s="79">
      <c r="I28" s="25" t="n"/>
      <c r="J28" s="25" t="n"/>
      <c r="K28" s="25" t="n"/>
      <c r="L28" s="25" t="n"/>
      <c r="M28" s="25" t="n"/>
      <c r="N28" s="25" t="n"/>
      <c r="O28" s="25" t="n"/>
      <c r="P28" s="25" t="n"/>
      <c r="Q28" s="76" t="n"/>
    </row>
    <row r="29" ht="15" customFormat="1" customHeight="1" s="79">
      <c r="B29" s="62" t="inlineStr">
        <is>
          <t>MONTHLY BREAKDOWN</t>
        </is>
      </c>
      <c r="E29" s="31" t="n"/>
      <c r="F29" s="31" t="n"/>
      <c r="G29" s="31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76" t="n"/>
    </row>
    <row r="30" ht="15" customFormat="1" customHeight="1" s="79">
      <c r="B30" s="62" t="n"/>
      <c r="C30" s="62" t="n"/>
      <c r="D30" s="62" t="n"/>
      <c r="E30" s="31" t="n"/>
      <c r="F30" s="31" t="n"/>
      <c r="G30" s="31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76" t="n"/>
    </row>
    <row r="31" ht="15" customFormat="1" customHeight="1" s="79">
      <c r="B31" s="62" t="inlineStr">
        <is>
          <t>Month</t>
        </is>
      </c>
      <c r="C31" s="62" t="n"/>
      <c r="D31" s="62" t="inlineStr">
        <is>
          <t>Gross</t>
        </is>
      </c>
      <c r="E31" s="62" t="inlineStr">
        <is>
          <t>Net</t>
        </is>
      </c>
      <c r="F31" s="62" t="n"/>
      <c r="G31" s="62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76" t="n"/>
    </row>
    <row r="32" ht="15.75" customFormat="1" customHeight="1" s="79" thickBot="1">
      <c r="B32" s="117" t="inlineStr">
        <is>
          <t>February</t>
        </is>
      </c>
      <c r="C32" s="117" t="n"/>
      <c r="D32" s="118" t="n">
        <v>700</v>
      </c>
      <c r="E32" s="119">
        <f>D32*0.85</f>
        <v/>
      </c>
      <c r="I32" s="25" t="n"/>
      <c r="J32" s="25" t="n"/>
      <c r="K32" s="25" t="n"/>
      <c r="L32" s="25" t="n"/>
      <c r="M32" s="25" t="n"/>
      <c r="N32" s="25" t="n"/>
      <c r="O32" s="25" t="n"/>
      <c r="P32" s="25" t="n"/>
      <c r="Q32" s="76" t="n"/>
    </row>
    <row r="33" ht="15" customFormat="1" customHeight="1" s="79" thickTop="1">
      <c r="B33" s="36" t="inlineStr">
        <is>
          <t>Total</t>
        </is>
      </c>
      <c r="C33" s="76" t="n"/>
      <c r="D33" s="105">
        <f>SUM(D32:D32)</f>
        <v/>
      </c>
      <c r="E33" s="106">
        <f>SUM(E32:E32)</f>
        <v/>
      </c>
      <c r="F33" s="76" t="n"/>
      <c r="G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</row>
    <row r="34" ht="15" customFormat="1" customHeight="1" s="79">
      <c r="B34" s="76" t="n"/>
      <c r="C34" s="76" t="n"/>
      <c r="D34" s="76" t="n"/>
      <c r="E34" s="76" t="n"/>
      <c r="F34" s="76" t="n"/>
      <c r="G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</row>
    <row r="35" ht="15" customFormat="1" customHeight="1" s="79">
      <c r="B35" s="76" t="n"/>
      <c r="C35" s="76" t="n"/>
      <c r="D35" s="76" t="n"/>
      <c r="E35" s="76" t="n"/>
      <c r="F35" s="76" t="n"/>
      <c r="G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</row>
    <row r="36" ht="15" customFormat="1" customHeight="1" s="79">
      <c r="B36" s="76" t="n"/>
      <c r="C36" s="76" t="n"/>
      <c r="D36" s="76" t="n"/>
      <c r="E36" s="76" t="n"/>
      <c r="F36" s="76" t="n"/>
      <c r="G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</row>
  </sheetData>
  <mergeCells count="19">
    <mergeCell ref="D9:G9"/>
    <mergeCell ref="D3:G3"/>
    <mergeCell ref="D12:G12"/>
    <mergeCell ref="D8:G8"/>
    <mergeCell ref="L5:Q5"/>
    <mergeCell ref="L8:Q8"/>
    <mergeCell ref="B29:D29"/>
    <mergeCell ref="L4:Q4"/>
    <mergeCell ref="D6:E6"/>
    <mergeCell ref="F1:L1"/>
    <mergeCell ref="B22:G27"/>
    <mergeCell ref="D10:G10"/>
    <mergeCell ref="L6:Q6"/>
    <mergeCell ref="K11:Q11"/>
    <mergeCell ref="D13:G13"/>
    <mergeCell ref="D11:G11"/>
    <mergeCell ref="L3:Q3"/>
    <mergeCell ref="B21:G21"/>
    <mergeCell ref="D4:G4"/>
  </mergeCells>
  <hyperlinks>
    <hyperlink xmlns:r="http://schemas.openxmlformats.org/officeDocument/2006/relationships" ref="D10" display="jlee@handlpartners.com" r:id="rId1"/>
    <hyperlink xmlns:r="http://schemas.openxmlformats.org/officeDocument/2006/relationships" ref="D11" display="jlee@handlpartners.com" r:id="rId2"/>
    <hyperlink xmlns:r="http://schemas.openxmlformats.org/officeDocument/2006/relationships" ref="D12" display="jlee@handlpartners.com" r:id="rId3"/>
    <hyperlink xmlns:r="http://schemas.openxmlformats.org/officeDocument/2006/relationships" ref="D13" display="jlee@handlpartners.com" r:id="rId4"/>
  </hyperlinks>
  <pageMargins left="0.7" right="0.7" top="0.75" bottom="0.75" header="0.3" footer="0.3"/>
  <pageSetup orientation="landscape" scale="82" fitToHeight="1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topLeftCell="I1" workbookViewId="0">
      <pane ySplit="1" topLeftCell="A2" activePane="bottomLeft" state="frozen"/>
      <selection activeCell="M1" sqref="M1"/>
      <selection pane="bottomLeft" activeCell="V4" sqref="V4"/>
    </sheetView>
  </sheetViews>
  <sheetFormatPr baseColWidth="8" defaultRowHeight="15"/>
  <cols>
    <col width="41.85546875" customWidth="1" min="1" max="1"/>
    <col width="8.7109375" bestFit="1" customWidth="1" min="2" max="2"/>
    <col width="8.85546875" bestFit="1" customWidth="1" min="3" max="3"/>
    <col width="10.42578125" customWidth="1" min="4" max="4"/>
    <col width="9.140625" bestFit="1" customWidth="1" min="5" max="6"/>
    <col width="7.140625" bestFit="1" customWidth="1" min="7" max="7"/>
    <col width="42.140625" customWidth="1" min="8" max="8"/>
    <col width="27.7109375" customWidth="1" min="9" max="9"/>
    <col width="5.5703125" bestFit="1" customWidth="1" min="10" max="10"/>
    <col width="7.28515625" bestFit="1" customWidth="1" min="11" max="11"/>
    <col width="5" bestFit="1" customWidth="1" min="12" max="12"/>
    <col width="11.140625" bestFit="1" customWidth="1" min="13" max="13"/>
    <col width="5.28515625" bestFit="1" customWidth="1" min="14" max="14"/>
    <col width="13.28515625" bestFit="1" customWidth="1" min="15" max="15"/>
    <col width="12.5703125" customWidth="1" min="16" max="16"/>
    <col width="11.28515625" bestFit="1" customWidth="1" min="17" max="17"/>
    <col width="11" bestFit="1" customWidth="1" min="18" max="18"/>
    <col width="13.7109375" bestFit="1" customWidth="1" style="40" min="19" max="19"/>
    <col width="11.85546875" bestFit="1" customWidth="1" min="20" max="20"/>
    <col width="30" bestFit="1" customWidth="1" style="45" min="21" max="21"/>
    <col width="11.5703125" bestFit="1" customWidth="1" min="22" max="22"/>
    <col width="14.42578125" bestFit="1" customWidth="1" min="23" max="23"/>
    <col width="13.7109375" bestFit="1" customWidth="1" min="24" max="24"/>
    <col width="11.28515625" bestFit="1" customWidth="1" min="25" max="25"/>
    <col width="11.85546875" bestFit="1" customWidth="1" min="26" max="26"/>
    <col width="9.7109375" bestFit="1" customWidth="1" min="27" max="27"/>
    <col width="9.5703125" bestFit="1" customWidth="1" min="28" max="28"/>
    <col width="7.42578125" bestFit="1" customWidth="1" min="29" max="29"/>
  </cols>
  <sheetData>
    <row r="1" ht="20.25" customFormat="1" customHeight="1" s="5">
      <c r="A1" s="5" t="inlineStr">
        <is>
          <t>Bill Code</t>
        </is>
      </c>
      <c r="B1" s="6" t="inlineStr">
        <is>
          <t>Air Date</t>
        </is>
      </c>
      <c r="C1" s="6" t="inlineStr">
        <is>
          <t>End Date</t>
        </is>
      </c>
      <c r="D1" s="5" t="inlineStr">
        <is>
          <t>Day</t>
        </is>
      </c>
      <c r="E1" s="88" t="inlineStr">
        <is>
          <t>Time In</t>
        </is>
      </c>
      <c r="F1" s="88" t="inlineStr">
        <is>
          <t>Time out</t>
        </is>
      </c>
      <c r="G1" s="88" t="inlineStr">
        <is>
          <t>Length</t>
        </is>
      </c>
      <c r="H1" s="8" t="inlineStr">
        <is>
          <t>Media</t>
        </is>
      </c>
      <c r="I1" s="88" t="inlineStr">
        <is>
          <t>Program</t>
        </is>
      </c>
      <c r="J1" s="5" t="inlineStr">
        <is>
          <t>Lang.</t>
        </is>
      </c>
      <c r="K1" s="5" t="inlineStr">
        <is>
          <t>Format</t>
        </is>
      </c>
      <c r="L1" s="5" t="inlineStr">
        <is>
          <t>#</t>
        </is>
      </c>
      <c r="M1" s="5" t="inlineStr">
        <is>
          <t>Line</t>
        </is>
      </c>
      <c r="N1" s="5" t="inlineStr">
        <is>
          <t>Type</t>
        </is>
      </c>
      <c r="O1" s="5" t="inlineStr">
        <is>
          <t>Estimate</t>
        </is>
      </c>
      <c r="P1" s="89" t="inlineStr">
        <is>
          <t>Gross Rate</t>
        </is>
      </c>
      <c r="Q1" s="5" t="inlineStr">
        <is>
          <t>Make Good</t>
        </is>
      </c>
      <c r="R1" s="89" t="inlineStr">
        <is>
          <t>Spot Value</t>
        </is>
      </c>
      <c r="S1" s="39" t="inlineStr">
        <is>
          <t>Month</t>
        </is>
      </c>
      <c r="T1" s="89" t="inlineStr">
        <is>
          <t>Broker Fees</t>
        </is>
      </c>
      <c r="U1" s="44" t="inlineStr">
        <is>
          <t>Priority</t>
        </is>
      </c>
      <c r="V1" s="89" t="inlineStr">
        <is>
          <t>Station Net</t>
        </is>
      </c>
      <c r="W1" s="5" t="inlineStr">
        <is>
          <t>Sales Person</t>
        </is>
      </c>
      <c r="X1" s="5" t="inlineStr">
        <is>
          <t>Revenue Type</t>
        </is>
      </c>
      <c r="Y1" s="5" t="inlineStr">
        <is>
          <t>Billing Type</t>
        </is>
      </c>
      <c r="Z1" s="5" t="inlineStr">
        <is>
          <t>Agency?</t>
        </is>
      </c>
      <c r="AA1" s="5" t="inlineStr">
        <is>
          <t>Affidavit?</t>
        </is>
      </c>
      <c r="AB1" s="44" t="inlineStr">
        <is>
          <t>Contract</t>
        </is>
      </c>
      <c r="AC1" s="5" t="inlineStr">
        <is>
          <t>Market</t>
        </is>
      </c>
    </row>
    <row r="2" ht="15" customFormat="1" customHeight="1" s="72">
      <c r="A2" t="inlineStr">
        <is>
          <t>&lt;bill_code&gt;</t>
        </is>
      </c>
      <c r="B2" s="46" t="inlineStr">
        <is>
          <t>&lt;air_date&gt;</t>
        </is>
      </c>
      <c r="C2" s="30">
        <f>B2</f>
        <v/>
      </c>
      <c r="D2" s="47" t="inlineStr">
        <is>
          <t>&lt;day&gt;</t>
        </is>
      </c>
      <c r="E2" s="48" t="inlineStr">
        <is>
          <t>&lt;time_in&gt;</t>
        </is>
      </c>
      <c r="F2" s="48" t="inlineStr">
        <is>
          <t>&lt;time_out&gt;</t>
        </is>
      </c>
      <c r="G2" s="48" t="inlineStr">
        <is>
          <t>&lt;length&gt;</t>
        </is>
      </c>
      <c r="H2" t="inlineStr">
        <is>
          <t>&lt;media&gt;</t>
        </is>
      </c>
      <c r="I2" s="107" t="inlineStr">
        <is>
          <t>&lt;program&gt;</t>
        </is>
      </c>
      <c r="J2" t="inlineStr">
        <is>
          <t>&lt;lang&gt;</t>
        </is>
      </c>
      <c r="L2" t="n">
        <v>1</v>
      </c>
      <c r="M2" t="inlineStr">
        <is>
          <t>&lt;line&gt;</t>
        </is>
      </c>
      <c r="N2" t="inlineStr">
        <is>
          <t>&lt;type&gt;</t>
        </is>
      </c>
      <c r="O2" t="inlineStr">
        <is>
          <t>&lt;estimate_run&gt;</t>
        </is>
      </c>
      <c r="P2" s="108" t="inlineStr">
        <is>
          <t>&lt;gross_rate&gt;</t>
        </is>
      </c>
      <c r="R2" s="108">
        <f>P2</f>
        <v/>
      </c>
      <c r="S2" s="51" t="inlineStr">
        <is>
          <t>&lt;month&gt;</t>
        </is>
      </c>
      <c r="T2" s="108" t="inlineStr">
        <is>
          <t>&lt;broker_fees&gt;</t>
        </is>
      </c>
      <c r="U2" s="52" t="inlineStr">
        <is>
          <t>&lt;priority&gt;</t>
        </is>
      </c>
      <c r="V2" s="108">
        <f>P2-T2</f>
        <v/>
      </c>
      <c r="W2" t="inlineStr">
        <is>
          <t>&lt;sales_person&gt;</t>
        </is>
      </c>
      <c r="X2" t="inlineStr">
        <is>
          <t>&lt;revenue_type&gt;</t>
        </is>
      </c>
      <c r="Y2" t="inlineStr">
        <is>
          <t>&lt;billing_type&gt;</t>
        </is>
      </c>
      <c r="Z2" t="inlineStr">
        <is>
          <t>&lt;agency_flag&gt;</t>
        </is>
      </c>
      <c r="AA2" t="inlineStr">
        <is>
          <t>&lt;affidavit&gt;</t>
        </is>
      </c>
      <c r="AB2" s="52" t="inlineStr">
        <is>
          <t>&lt;contract&gt;</t>
        </is>
      </c>
      <c r="AC2" t="inlineStr">
        <is>
          <t>&lt;market&gt;</t>
        </is>
      </c>
    </row>
    <row r="3" ht="15" customFormat="1" customHeight="1" s="72">
      <c r="A3" t="inlineStr">
        <is>
          <t>&lt;bill_code&gt;</t>
        </is>
      </c>
      <c r="B3" s="46" t="inlineStr">
        <is>
          <t>&lt;air_date&gt;</t>
        </is>
      </c>
      <c r="C3" s="30">
        <f>B3</f>
        <v/>
      </c>
      <c r="D3" s="47" t="inlineStr">
        <is>
          <t>&lt;day&gt;</t>
        </is>
      </c>
      <c r="E3" s="48" t="inlineStr">
        <is>
          <t>&lt;time_in&gt;</t>
        </is>
      </c>
      <c r="F3" s="48" t="inlineStr">
        <is>
          <t>&lt;time_out&gt;</t>
        </is>
      </c>
      <c r="G3" s="48" t="inlineStr">
        <is>
          <t>&lt;length&gt;</t>
        </is>
      </c>
      <c r="H3" t="inlineStr">
        <is>
          <t>&lt;media&gt;</t>
        </is>
      </c>
      <c r="I3" s="107" t="inlineStr">
        <is>
          <t>&lt;program&gt;</t>
        </is>
      </c>
      <c r="J3" t="inlineStr">
        <is>
          <t>&lt;lang&gt;</t>
        </is>
      </c>
      <c r="L3" t="n">
        <v>1</v>
      </c>
      <c r="M3" t="inlineStr">
        <is>
          <t>&lt;line&gt;</t>
        </is>
      </c>
      <c r="N3" t="inlineStr">
        <is>
          <t>&lt;type&gt;</t>
        </is>
      </c>
      <c r="O3" t="inlineStr">
        <is>
          <t>&lt;estimate_run&gt;</t>
        </is>
      </c>
      <c r="P3" s="108" t="inlineStr">
        <is>
          <t>&lt;gross_rate&gt;</t>
        </is>
      </c>
      <c r="R3" s="108">
        <f>P3</f>
        <v/>
      </c>
      <c r="S3" s="51" t="inlineStr">
        <is>
          <t>&lt;month&gt;</t>
        </is>
      </c>
      <c r="T3" s="108" t="inlineStr">
        <is>
          <t>&lt;broker_fees&gt;</t>
        </is>
      </c>
      <c r="U3" s="52" t="inlineStr">
        <is>
          <t>&lt;priority&gt;</t>
        </is>
      </c>
      <c r="V3" s="108">
        <f>P3-T3</f>
        <v/>
      </c>
      <c r="W3" t="inlineStr">
        <is>
          <t>&lt;sales_person&gt;</t>
        </is>
      </c>
      <c r="X3" t="inlineStr">
        <is>
          <t>&lt;revenue_type&gt;</t>
        </is>
      </c>
      <c r="Y3" t="inlineStr">
        <is>
          <t>&lt;billing_type&gt;</t>
        </is>
      </c>
      <c r="Z3" t="inlineStr">
        <is>
          <t>&lt;agency_flag&gt;</t>
        </is>
      </c>
      <c r="AA3" t="inlineStr">
        <is>
          <t>&lt;affidavit&gt;</t>
        </is>
      </c>
      <c r="AB3" s="52" t="inlineStr">
        <is>
          <t>&lt;contract&gt;</t>
        </is>
      </c>
      <c r="AC3" t="inlineStr">
        <is>
          <t>&lt;market&gt;</t>
        </is>
      </c>
    </row>
    <row r="4" ht="15" customFormat="1" customHeight="1" s="72">
      <c r="A4" t="inlineStr">
        <is>
          <t>&lt;bill_code&gt;</t>
        </is>
      </c>
      <c r="B4" s="46" t="inlineStr">
        <is>
          <t>&lt;air_date&gt;</t>
        </is>
      </c>
      <c r="C4" s="30">
        <f>B4</f>
        <v/>
      </c>
      <c r="D4" s="47" t="inlineStr">
        <is>
          <t>&lt;day&gt;</t>
        </is>
      </c>
      <c r="E4" s="48" t="inlineStr">
        <is>
          <t>&lt;time_in&gt;</t>
        </is>
      </c>
      <c r="F4" s="48" t="inlineStr">
        <is>
          <t>&lt;time_out&gt;</t>
        </is>
      </c>
      <c r="G4" s="48" t="inlineStr">
        <is>
          <t>&lt;length&gt;</t>
        </is>
      </c>
      <c r="H4" t="inlineStr">
        <is>
          <t>&lt;media&gt;</t>
        </is>
      </c>
      <c r="I4" s="107" t="inlineStr">
        <is>
          <t>&lt;program&gt;</t>
        </is>
      </c>
      <c r="J4" t="inlineStr">
        <is>
          <t>&lt;lang&gt;</t>
        </is>
      </c>
      <c r="L4" t="n">
        <v>1</v>
      </c>
      <c r="M4" t="inlineStr">
        <is>
          <t>&lt;line&gt;</t>
        </is>
      </c>
      <c r="N4" t="inlineStr">
        <is>
          <t>&lt;type&gt;</t>
        </is>
      </c>
      <c r="O4" t="inlineStr">
        <is>
          <t>&lt;estimate_run&gt;</t>
        </is>
      </c>
      <c r="P4" s="108" t="inlineStr">
        <is>
          <t>&lt;gross_rate&gt;</t>
        </is>
      </c>
      <c r="R4" s="108">
        <f>P4</f>
        <v/>
      </c>
      <c r="S4" s="51" t="inlineStr">
        <is>
          <t>&lt;month&gt;</t>
        </is>
      </c>
      <c r="T4" s="108" t="inlineStr">
        <is>
          <t>&lt;broker_fees&gt;</t>
        </is>
      </c>
      <c r="U4" s="52" t="inlineStr">
        <is>
          <t>&lt;priority&gt;</t>
        </is>
      </c>
      <c r="V4" s="108">
        <f>P4-T4</f>
        <v/>
      </c>
      <c r="W4" t="inlineStr">
        <is>
          <t>&lt;sales_person&gt;</t>
        </is>
      </c>
      <c r="X4" t="inlineStr">
        <is>
          <t>&lt;revenue_type&gt;</t>
        </is>
      </c>
      <c r="Y4" t="inlineStr">
        <is>
          <t>&lt;billing_type&gt;</t>
        </is>
      </c>
      <c r="Z4" t="inlineStr">
        <is>
          <t>&lt;agency_flag&gt;</t>
        </is>
      </c>
      <c r="AA4" t="inlineStr">
        <is>
          <t>&lt;affidavit&gt;</t>
        </is>
      </c>
      <c r="AB4" s="52" t="inlineStr">
        <is>
          <t>&lt;contract&gt;</t>
        </is>
      </c>
      <c r="AC4" t="inlineStr">
        <is>
          <t>&lt;market&gt;</t>
        </is>
      </c>
    </row>
    <row r="5" ht="15" customFormat="1" customHeight="1" s="72">
      <c r="A5" t="inlineStr">
        <is>
          <t>&lt;bill_code&gt;</t>
        </is>
      </c>
      <c r="B5" s="46" t="inlineStr">
        <is>
          <t>&lt;air_date&gt;</t>
        </is>
      </c>
      <c r="C5" s="30">
        <f>B5</f>
        <v/>
      </c>
      <c r="D5" s="47" t="inlineStr">
        <is>
          <t>&lt;day&gt;</t>
        </is>
      </c>
      <c r="E5" s="48" t="inlineStr">
        <is>
          <t>&lt;time_in&gt;</t>
        </is>
      </c>
      <c r="F5" s="48" t="inlineStr">
        <is>
          <t>&lt;time_out&gt;</t>
        </is>
      </c>
      <c r="G5" s="48" t="inlineStr">
        <is>
          <t>&lt;length&gt;</t>
        </is>
      </c>
      <c r="H5" t="inlineStr">
        <is>
          <t>&lt;media&gt;</t>
        </is>
      </c>
      <c r="I5" s="107" t="inlineStr">
        <is>
          <t>&lt;program&gt;</t>
        </is>
      </c>
      <c r="J5" t="inlineStr">
        <is>
          <t>&lt;lang&gt;</t>
        </is>
      </c>
      <c r="L5" t="n">
        <v>1</v>
      </c>
      <c r="M5" t="inlineStr">
        <is>
          <t>&lt;line&gt;</t>
        </is>
      </c>
      <c r="N5" t="inlineStr">
        <is>
          <t>&lt;type&gt;</t>
        </is>
      </c>
      <c r="O5" t="inlineStr">
        <is>
          <t>&lt;estimate_run&gt;</t>
        </is>
      </c>
      <c r="P5" s="108" t="inlineStr">
        <is>
          <t>&lt;gross_rate&gt;</t>
        </is>
      </c>
      <c r="R5" s="108">
        <f>P5</f>
        <v/>
      </c>
      <c r="S5" s="51" t="inlineStr">
        <is>
          <t>&lt;month&gt;</t>
        </is>
      </c>
      <c r="T5" s="108" t="inlineStr">
        <is>
          <t>&lt;broker_fees&gt;</t>
        </is>
      </c>
      <c r="U5" s="52" t="inlineStr">
        <is>
          <t>&lt;priority&gt;</t>
        </is>
      </c>
      <c r="V5" s="108">
        <f>P5-T5</f>
        <v/>
      </c>
      <c r="W5" t="inlineStr">
        <is>
          <t>&lt;sales_person&gt;</t>
        </is>
      </c>
      <c r="X5" t="inlineStr">
        <is>
          <t>&lt;revenue_type&gt;</t>
        </is>
      </c>
      <c r="Y5" t="inlineStr">
        <is>
          <t>&lt;billing_type&gt;</t>
        </is>
      </c>
      <c r="Z5" t="inlineStr">
        <is>
          <t>&lt;agency_flag&gt;</t>
        </is>
      </c>
      <c r="AA5" t="inlineStr">
        <is>
          <t>&lt;affidavit&gt;</t>
        </is>
      </c>
      <c r="AB5" s="52" t="inlineStr">
        <is>
          <t>&lt;contract&gt;</t>
        </is>
      </c>
      <c r="AC5" t="inlineStr">
        <is>
          <t>&lt;market&gt;</t>
        </is>
      </c>
    </row>
    <row r="6" ht="15" customFormat="1" customHeight="1" s="72">
      <c r="A6" t="inlineStr">
        <is>
          <t>&lt;bill_code&gt;</t>
        </is>
      </c>
      <c r="B6" s="46" t="inlineStr">
        <is>
          <t>&lt;air_date&gt;</t>
        </is>
      </c>
      <c r="C6" s="30">
        <f>B6</f>
        <v/>
      </c>
      <c r="D6" s="47" t="inlineStr">
        <is>
          <t>&lt;day&gt;</t>
        </is>
      </c>
      <c r="E6" s="48" t="inlineStr">
        <is>
          <t>&lt;time_in&gt;</t>
        </is>
      </c>
      <c r="F6" s="48" t="inlineStr">
        <is>
          <t>&lt;time_out&gt;</t>
        </is>
      </c>
      <c r="G6" s="48" t="inlineStr">
        <is>
          <t>&lt;length&gt;</t>
        </is>
      </c>
      <c r="H6" t="inlineStr">
        <is>
          <t>&lt;media&gt;</t>
        </is>
      </c>
      <c r="I6" s="107" t="inlineStr">
        <is>
          <t>&lt;program&gt;</t>
        </is>
      </c>
      <c r="J6" t="inlineStr">
        <is>
          <t>&lt;lang&gt;</t>
        </is>
      </c>
      <c r="L6" t="n">
        <v>1</v>
      </c>
      <c r="M6" t="inlineStr">
        <is>
          <t>&lt;line&gt;</t>
        </is>
      </c>
      <c r="N6" t="inlineStr">
        <is>
          <t>&lt;type&gt;</t>
        </is>
      </c>
      <c r="O6" t="inlineStr">
        <is>
          <t>&lt;estimate_run&gt;</t>
        </is>
      </c>
      <c r="P6" s="108" t="inlineStr">
        <is>
          <t>&lt;gross_rate&gt;</t>
        </is>
      </c>
      <c r="R6" s="108">
        <f>P6</f>
        <v/>
      </c>
      <c r="S6" s="51" t="inlineStr">
        <is>
          <t>&lt;month&gt;</t>
        </is>
      </c>
      <c r="T6" s="108" t="inlineStr">
        <is>
          <t>&lt;broker_fees&gt;</t>
        </is>
      </c>
      <c r="U6" s="52" t="inlineStr">
        <is>
          <t>&lt;priority&gt;</t>
        </is>
      </c>
      <c r="V6" s="108">
        <f>P6-T6</f>
        <v/>
      </c>
      <c r="W6" t="inlineStr">
        <is>
          <t>&lt;sales_person&gt;</t>
        </is>
      </c>
      <c r="X6" t="inlineStr">
        <is>
          <t>&lt;revenue_type&gt;</t>
        </is>
      </c>
      <c r="Y6" t="inlineStr">
        <is>
          <t>&lt;billing_type&gt;</t>
        </is>
      </c>
      <c r="Z6" t="inlineStr">
        <is>
          <t>&lt;agency_flag&gt;</t>
        </is>
      </c>
      <c r="AA6" t="inlineStr">
        <is>
          <t>&lt;affidavit&gt;</t>
        </is>
      </c>
      <c r="AB6" s="52" t="inlineStr">
        <is>
          <t>&lt;contract&gt;</t>
        </is>
      </c>
      <c r="AC6" t="inlineStr">
        <is>
          <t>&lt;market&gt;</t>
        </is>
      </c>
    </row>
    <row r="7" ht="15" customFormat="1" customHeight="1" s="72">
      <c r="A7" t="inlineStr">
        <is>
          <t>&lt;bill_code&gt;</t>
        </is>
      </c>
      <c r="B7" s="46" t="inlineStr">
        <is>
          <t>&lt;air_date&gt;</t>
        </is>
      </c>
      <c r="C7" s="30">
        <f>B7</f>
        <v/>
      </c>
      <c r="D7" s="47" t="inlineStr">
        <is>
          <t>&lt;day&gt;</t>
        </is>
      </c>
      <c r="E7" s="48" t="inlineStr">
        <is>
          <t>&lt;time_in&gt;</t>
        </is>
      </c>
      <c r="F7" s="48" t="inlineStr">
        <is>
          <t>&lt;time_out&gt;</t>
        </is>
      </c>
      <c r="G7" s="48" t="inlineStr">
        <is>
          <t>&lt;length&gt;</t>
        </is>
      </c>
      <c r="H7" t="inlineStr">
        <is>
          <t>&lt;media&gt;</t>
        </is>
      </c>
      <c r="I7" s="107" t="inlineStr">
        <is>
          <t>&lt;program&gt;</t>
        </is>
      </c>
      <c r="J7" t="inlineStr">
        <is>
          <t>&lt;lang&gt;</t>
        </is>
      </c>
      <c r="L7" t="n">
        <v>1</v>
      </c>
      <c r="M7" t="inlineStr">
        <is>
          <t>&lt;line&gt;</t>
        </is>
      </c>
      <c r="N7" t="inlineStr">
        <is>
          <t>&lt;type&gt;</t>
        </is>
      </c>
      <c r="O7" t="inlineStr">
        <is>
          <t>&lt;estimate_run&gt;</t>
        </is>
      </c>
      <c r="P7" s="108" t="inlineStr">
        <is>
          <t>&lt;gross_rate&gt;</t>
        </is>
      </c>
      <c r="R7" s="108">
        <f>P7</f>
        <v/>
      </c>
      <c r="S7" s="51" t="inlineStr">
        <is>
          <t>&lt;month&gt;</t>
        </is>
      </c>
      <c r="T7" s="108" t="inlineStr">
        <is>
          <t>&lt;broker_fees&gt;</t>
        </is>
      </c>
      <c r="U7" s="52" t="inlineStr">
        <is>
          <t>&lt;priority&gt;</t>
        </is>
      </c>
      <c r="V7" s="108">
        <f>P7-T7</f>
        <v/>
      </c>
      <c r="W7" t="inlineStr">
        <is>
          <t>&lt;sales_person&gt;</t>
        </is>
      </c>
      <c r="X7" t="inlineStr">
        <is>
          <t>&lt;revenue_type&gt;</t>
        </is>
      </c>
      <c r="Y7" t="inlineStr">
        <is>
          <t>&lt;billing_type&gt;</t>
        </is>
      </c>
      <c r="Z7" t="inlineStr">
        <is>
          <t>&lt;agency_flag&gt;</t>
        </is>
      </c>
      <c r="AA7" t="inlineStr">
        <is>
          <t>&lt;affidavit&gt;</t>
        </is>
      </c>
      <c r="AB7" s="52" t="inlineStr">
        <is>
          <t>&lt;contract&gt;</t>
        </is>
      </c>
      <c r="AC7" t="inlineStr">
        <is>
          <t>&lt;market&gt;</t>
        </is>
      </c>
    </row>
    <row r="8" ht="15" customFormat="1" customHeight="1" s="72">
      <c r="A8" t="inlineStr">
        <is>
          <t>&lt;bill_code&gt;</t>
        </is>
      </c>
      <c r="B8" s="46" t="inlineStr">
        <is>
          <t>&lt;air_date&gt;</t>
        </is>
      </c>
      <c r="C8" s="30">
        <f>B8</f>
        <v/>
      </c>
      <c r="D8" s="47" t="inlineStr">
        <is>
          <t>&lt;day&gt;</t>
        </is>
      </c>
      <c r="E8" s="48" t="inlineStr">
        <is>
          <t>&lt;time_in&gt;</t>
        </is>
      </c>
      <c r="F8" s="48" t="inlineStr">
        <is>
          <t>&lt;time_out&gt;</t>
        </is>
      </c>
      <c r="G8" s="48" t="inlineStr">
        <is>
          <t>&lt;length&gt;</t>
        </is>
      </c>
      <c r="H8" t="inlineStr">
        <is>
          <t>&lt;media&gt;</t>
        </is>
      </c>
      <c r="I8" s="107" t="inlineStr">
        <is>
          <t>&lt;program&gt;</t>
        </is>
      </c>
      <c r="J8" t="inlineStr">
        <is>
          <t>&lt;lang&gt;</t>
        </is>
      </c>
      <c r="L8" t="n">
        <v>1</v>
      </c>
      <c r="M8" t="inlineStr">
        <is>
          <t>&lt;line&gt;</t>
        </is>
      </c>
      <c r="N8" t="inlineStr">
        <is>
          <t>&lt;type&gt;</t>
        </is>
      </c>
      <c r="O8" t="inlineStr">
        <is>
          <t>&lt;estimate_run&gt;</t>
        </is>
      </c>
      <c r="P8" s="108" t="inlineStr">
        <is>
          <t>&lt;gross_rate&gt;</t>
        </is>
      </c>
      <c r="R8" s="108">
        <f>P8</f>
        <v/>
      </c>
      <c r="S8" s="51" t="inlineStr">
        <is>
          <t>&lt;month&gt;</t>
        </is>
      </c>
      <c r="T8" s="108" t="inlineStr">
        <is>
          <t>&lt;broker_fees&gt;</t>
        </is>
      </c>
      <c r="U8" s="52" t="inlineStr">
        <is>
          <t>&lt;priority&gt;</t>
        </is>
      </c>
      <c r="V8" s="108">
        <f>P8-T8</f>
        <v/>
      </c>
      <c r="W8" t="inlineStr">
        <is>
          <t>&lt;sales_person&gt;</t>
        </is>
      </c>
      <c r="X8" t="inlineStr">
        <is>
          <t>&lt;revenue_type&gt;</t>
        </is>
      </c>
      <c r="Y8" t="inlineStr">
        <is>
          <t>&lt;billing_type&gt;</t>
        </is>
      </c>
      <c r="Z8" t="inlineStr">
        <is>
          <t>&lt;agency_flag&gt;</t>
        </is>
      </c>
      <c r="AA8" t="inlineStr">
        <is>
          <t>&lt;affidavit&gt;</t>
        </is>
      </c>
      <c r="AB8" s="52" t="inlineStr">
        <is>
          <t>&lt;contract&gt;</t>
        </is>
      </c>
      <c r="AC8" t="inlineStr">
        <is>
          <t>&lt;market&gt;</t>
        </is>
      </c>
    </row>
    <row r="9" ht="15" customFormat="1" customHeight="1" s="72">
      <c r="A9" t="inlineStr">
        <is>
          <t>&lt;bill_code&gt;</t>
        </is>
      </c>
      <c r="B9" s="46" t="inlineStr">
        <is>
          <t>&lt;air_date&gt;</t>
        </is>
      </c>
      <c r="C9" s="30">
        <f>B9</f>
        <v/>
      </c>
      <c r="D9" s="47" t="inlineStr">
        <is>
          <t>&lt;day&gt;</t>
        </is>
      </c>
      <c r="E9" s="48" t="inlineStr">
        <is>
          <t>&lt;time_in&gt;</t>
        </is>
      </c>
      <c r="F9" s="48" t="inlineStr">
        <is>
          <t>&lt;time_out&gt;</t>
        </is>
      </c>
      <c r="G9" s="48" t="inlineStr">
        <is>
          <t>&lt;length&gt;</t>
        </is>
      </c>
      <c r="H9" t="inlineStr">
        <is>
          <t>&lt;media&gt;</t>
        </is>
      </c>
      <c r="I9" s="107" t="inlineStr">
        <is>
          <t>&lt;program&gt;</t>
        </is>
      </c>
      <c r="J9" t="inlineStr">
        <is>
          <t>&lt;lang&gt;</t>
        </is>
      </c>
      <c r="L9" t="n">
        <v>1</v>
      </c>
      <c r="M9" t="inlineStr">
        <is>
          <t>&lt;line&gt;</t>
        </is>
      </c>
      <c r="N9" t="inlineStr">
        <is>
          <t>&lt;type&gt;</t>
        </is>
      </c>
      <c r="O9" t="inlineStr">
        <is>
          <t>&lt;estimate_run&gt;</t>
        </is>
      </c>
      <c r="P9" s="108" t="inlineStr">
        <is>
          <t>&lt;gross_rate&gt;</t>
        </is>
      </c>
      <c r="R9" s="108">
        <f>P9</f>
        <v/>
      </c>
      <c r="S9" s="51" t="inlineStr">
        <is>
          <t>&lt;month&gt;</t>
        </is>
      </c>
      <c r="T9" s="108" t="inlineStr">
        <is>
          <t>&lt;broker_fees&gt;</t>
        </is>
      </c>
      <c r="U9" s="52" t="inlineStr">
        <is>
          <t>&lt;priority&gt;</t>
        </is>
      </c>
      <c r="V9" s="108">
        <f>P9-T9</f>
        <v/>
      </c>
      <c r="W9" t="inlineStr">
        <is>
          <t>&lt;sales_person&gt;</t>
        </is>
      </c>
      <c r="X9" t="inlineStr">
        <is>
          <t>&lt;revenue_type&gt;</t>
        </is>
      </c>
      <c r="Y9" t="inlineStr">
        <is>
          <t>&lt;billing_type&gt;</t>
        </is>
      </c>
      <c r="Z9" t="inlineStr">
        <is>
          <t>&lt;agency_flag&gt;</t>
        </is>
      </c>
      <c r="AA9" t="inlineStr">
        <is>
          <t>&lt;affidavit&gt;</t>
        </is>
      </c>
      <c r="AB9" s="52" t="inlineStr">
        <is>
          <t>&lt;contract&gt;</t>
        </is>
      </c>
      <c r="AC9" t="inlineStr">
        <is>
          <t>&lt;market&gt;</t>
        </is>
      </c>
    </row>
    <row r="10" ht="15" customFormat="1" customHeight="1" s="72">
      <c r="A10" t="inlineStr">
        <is>
          <t>&lt;bill_code&gt;</t>
        </is>
      </c>
      <c r="B10" s="46" t="inlineStr">
        <is>
          <t>&lt;air_date&gt;</t>
        </is>
      </c>
      <c r="C10" s="30">
        <f>B10</f>
        <v/>
      </c>
      <c r="D10" s="47" t="inlineStr">
        <is>
          <t>&lt;day&gt;</t>
        </is>
      </c>
      <c r="E10" s="48" t="inlineStr">
        <is>
          <t>&lt;time_in&gt;</t>
        </is>
      </c>
      <c r="F10" s="48" t="inlineStr">
        <is>
          <t>&lt;time_out&gt;</t>
        </is>
      </c>
      <c r="G10" s="48" t="inlineStr">
        <is>
          <t>&lt;length&gt;</t>
        </is>
      </c>
      <c r="H10" t="inlineStr">
        <is>
          <t>&lt;media&gt;</t>
        </is>
      </c>
      <c r="I10" s="107" t="inlineStr">
        <is>
          <t>&lt;program&gt;</t>
        </is>
      </c>
      <c r="J10" t="inlineStr">
        <is>
          <t>&lt;lang&gt;</t>
        </is>
      </c>
      <c r="L10" t="n">
        <v>1</v>
      </c>
      <c r="M10" t="inlineStr">
        <is>
          <t>&lt;line&gt;</t>
        </is>
      </c>
      <c r="N10" t="inlineStr">
        <is>
          <t>&lt;type&gt;</t>
        </is>
      </c>
      <c r="O10" t="inlineStr">
        <is>
          <t>&lt;estimate_run&gt;</t>
        </is>
      </c>
      <c r="P10" s="108" t="inlineStr">
        <is>
          <t>&lt;gross_rate&gt;</t>
        </is>
      </c>
      <c r="R10" s="108">
        <f>P10</f>
        <v/>
      </c>
      <c r="S10" s="51" t="inlineStr">
        <is>
          <t>&lt;month&gt;</t>
        </is>
      </c>
      <c r="T10" s="108" t="inlineStr">
        <is>
          <t>&lt;broker_fees&gt;</t>
        </is>
      </c>
      <c r="U10" s="52" t="inlineStr">
        <is>
          <t>&lt;priority&gt;</t>
        </is>
      </c>
      <c r="V10" s="108">
        <f>P10-T10</f>
        <v/>
      </c>
      <c r="W10" t="inlineStr">
        <is>
          <t>&lt;sales_person&gt;</t>
        </is>
      </c>
      <c r="X10" t="inlineStr">
        <is>
          <t>&lt;revenue_type&gt;</t>
        </is>
      </c>
      <c r="Y10" t="inlineStr">
        <is>
          <t>&lt;billing_type&gt;</t>
        </is>
      </c>
      <c r="Z10" t="inlineStr">
        <is>
          <t>&lt;agency_flag&gt;</t>
        </is>
      </c>
      <c r="AA10" t="inlineStr">
        <is>
          <t>&lt;affidavit&gt;</t>
        </is>
      </c>
      <c r="AB10" s="52" t="inlineStr">
        <is>
          <t>&lt;contract&gt;</t>
        </is>
      </c>
      <c r="AC10" t="inlineStr">
        <is>
          <t>&lt;market&gt;</t>
        </is>
      </c>
    </row>
    <row r="11" ht="15" customFormat="1" customHeight="1" s="72">
      <c r="A11" t="inlineStr">
        <is>
          <t>&lt;bill_code&gt;</t>
        </is>
      </c>
      <c r="B11" s="46" t="inlineStr">
        <is>
          <t>&lt;air_date&gt;</t>
        </is>
      </c>
      <c r="C11" s="30">
        <f>B11</f>
        <v/>
      </c>
      <c r="D11" s="47" t="inlineStr">
        <is>
          <t>&lt;day&gt;</t>
        </is>
      </c>
      <c r="E11" s="48" t="inlineStr">
        <is>
          <t>&lt;time_in&gt;</t>
        </is>
      </c>
      <c r="F11" s="48" t="inlineStr">
        <is>
          <t>&lt;time_out&gt;</t>
        </is>
      </c>
      <c r="G11" s="48" t="inlineStr">
        <is>
          <t>&lt;length&gt;</t>
        </is>
      </c>
      <c r="H11" t="inlineStr">
        <is>
          <t>&lt;media&gt;</t>
        </is>
      </c>
      <c r="I11" s="107" t="inlineStr">
        <is>
          <t>&lt;program&gt;</t>
        </is>
      </c>
      <c r="J11" t="inlineStr">
        <is>
          <t>&lt;lang&gt;</t>
        </is>
      </c>
      <c r="L11" t="n">
        <v>1</v>
      </c>
      <c r="M11" t="inlineStr">
        <is>
          <t>&lt;line&gt;</t>
        </is>
      </c>
      <c r="N11" t="inlineStr">
        <is>
          <t>&lt;type&gt;</t>
        </is>
      </c>
      <c r="O11" t="inlineStr">
        <is>
          <t>&lt;estimate_run&gt;</t>
        </is>
      </c>
      <c r="P11" s="108" t="inlineStr">
        <is>
          <t>&lt;gross_rate&gt;</t>
        </is>
      </c>
      <c r="R11" s="108">
        <f>P11</f>
        <v/>
      </c>
      <c r="S11" s="51" t="inlineStr">
        <is>
          <t>&lt;month&gt;</t>
        </is>
      </c>
      <c r="T11" s="108" t="inlineStr">
        <is>
          <t>&lt;broker_fees&gt;</t>
        </is>
      </c>
      <c r="U11" s="52" t="inlineStr">
        <is>
          <t>&lt;priority&gt;</t>
        </is>
      </c>
      <c r="V11" s="108">
        <f>P11-T11</f>
        <v/>
      </c>
      <c r="W11" t="inlineStr">
        <is>
          <t>&lt;sales_person&gt;</t>
        </is>
      </c>
      <c r="X11" t="inlineStr">
        <is>
          <t>&lt;revenue_type&gt;</t>
        </is>
      </c>
      <c r="Y11" t="inlineStr">
        <is>
          <t>&lt;billing_type&gt;</t>
        </is>
      </c>
      <c r="Z11" t="inlineStr">
        <is>
          <t>&lt;agency_flag&gt;</t>
        </is>
      </c>
      <c r="AA11" t="inlineStr">
        <is>
          <t>&lt;affidavit&gt;</t>
        </is>
      </c>
      <c r="AB11" s="52" t="inlineStr">
        <is>
          <t>&lt;contract&gt;</t>
        </is>
      </c>
      <c r="AC11" t="inlineStr">
        <is>
          <t>&lt;market&gt;</t>
        </is>
      </c>
    </row>
    <row r="12" ht="15" customFormat="1" customHeight="1" s="72">
      <c r="A12" t="inlineStr">
        <is>
          <t>&lt;bill_code&gt;</t>
        </is>
      </c>
      <c r="B12" s="46" t="inlineStr">
        <is>
          <t>&lt;air_date&gt;</t>
        </is>
      </c>
      <c r="C12" s="30">
        <f>B12</f>
        <v/>
      </c>
      <c r="D12" s="47" t="inlineStr">
        <is>
          <t>&lt;day&gt;</t>
        </is>
      </c>
      <c r="E12" s="48" t="inlineStr">
        <is>
          <t>&lt;time_in&gt;</t>
        </is>
      </c>
      <c r="F12" s="48" t="inlineStr">
        <is>
          <t>&lt;time_out&gt;</t>
        </is>
      </c>
      <c r="G12" s="48" t="inlineStr">
        <is>
          <t>&lt;length&gt;</t>
        </is>
      </c>
      <c r="H12" t="inlineStr">
        <is>
          <t>&lt;media&gt;</t>
        </is>
      </c>
      <c r="I12" s="107" t="inlineStr">
        <is>
          <t>&lt;program&gt;</t>
        </is>
      </c>
      <c r="J12" t="inlineStr">
        <is>
          <t>&lt;lang&gt;</t>
        </is>
      </c>
      <c r="L12" t="n">
        <v>1</v>
      </c>
      <c r="M12" t="inlineStr">
        <is>
          <t>&lt;line&gt;</t>
        </is>
      </c>
      <c r="N12" t="inlineStr">
        <is>
          <t>&lt;type&gt;</t>
        </is>
      </c>
      <c r="O12" t="inlineStr">
        <is>
          <t>&lt;estimate_run&gt;</t>
        </is>
      </c>
      <c r="P12" s="108" t="inlineStr">
        <is>
          <t>&lt;gross_rate&gt;</t>
        </is>
      </c>
      <c r="R12" s="108">
        <f>P12</f>
        <v/>
      </c>
      <c r="S12" s="51" t="inlineStr">
        <is>
          <t>&lt;month&gt;</t>
        </is>
      </c>
      <c r="T12" s="108" t="inlineStr">
        <is>
          <t>&lt;broker_fees&gt;</t>
        </is>
      </c>
      <c r="U12" s="52" t="inlineStr">
        <is>
          <t>&lt;priority&gt;</t>
        </is>
      </c>
      <c r="V12" s="108">
        <f>P12-T12</f>
        <v/>
      </c>
      <c r="W12" t="inlineStr">
        <is>
          <t>&lt;sales_person&gt;</t>
        </is>
      </c>
      <c r="X12" t="inlineStr">
        <is>
          <t>&lt;revenue_type&gt;</t>
        </is>
      </c>
      <c r="Y12" t="inlineStr">
        <is>
          <t>&lt;billing_type&gt;</t>
        </is>
      </c>
      <c r="Z12" t="inlineStr">
        <is>
          <t>&lt;agency_flag&gt;</t>
        </is>
      </c>
      <c r="AA12" t="inlineStr">
        <is>
          <t>&lt;affidavit&gt;</t>
        </is>
      </c>
      <c r="AB12" s="52" t="inlineStr">
        <is>
          <t>&lt;contract&gt;</t>
        </is>
      </c>
      <c r="AC12" t="inlineStr">
        <is>
          <t>&lt;market&gt;</t>
        </is>
      </c>
    </row>
    <row r="13" ht="15" customFormat="1" customHeight="1" s="72">
      <c r="A13" t="inlineStr">
        <is>
          <t>&lt;bill_code&gt;</t>
        </is>
      </c>
      <c r="B13" s="46" t="inlineStr">
        <is>
          <t>&lt;air_date&gt;</t>
        </is>
      </c>
      <c r="C13" s="30">
        <f>B13</f>
        <v/>
      </c>
      <c r="D13" s="47" t="inlineStr">
        <is>
          <t>&lt;day&gt;</t>
        </is>
      </c>
      <c r="E13" s="48" t="inlineStr">
        <is>
          <t>&lt;time_in&gt;</t>
        </is>
      </c>
      <c r="F13" s="48" t="inlineStr">
        <is>
          <t>&lt;time_out&gt;</t>
        </is>
      </c>
      <c r="G13" s="48" t="inlineStr">
        <is>
          <t>&lt;length&gt;</t>
        </is>
      </c>
      <c r="H13" t="inlineStr">
        <is>
          <t>&lt;media&gt;</t>
        </is>
      </c>
      <c r="I13" s="107" t="inlineStr">
        <is>
          <t>&lt;program&gt;</t>
        </is>
      </c>
      <c r="J13" t="inlineStr">
        <is>
          <t>&lt;lang&gt;</t>
        </is>
      </c>
      <c r="L13" t="n">
        <v>1</v>
      </c>
      <c r="M13" t="inlineStr">
        <is>
          <t>&lt;line&gt;</t>
        </is>
      </c>
      <c r="N13" t="inlineStr">
        <is>
          <t>&lt;type&gt;</t>
        </is>
      </c>
      <c r="O13" t="inlineStr">
        <is>
          <t>&lt;estimate_run&gt;</t>
        </is>
      </c>
      <c r="P13" s="108" t="inlineStr">
        <is>
          <t>&lt;gross_rate&gt;</t>
        </is>
      </c>
      <c r="R13" s="108">
        <f>P13</f>
        <v/>
      </c>
      <c r="S13" s="51" t="inlineStr">
        <is>
          <t>&lt;month&gt;</t>
        </is>
      </c>
      <c r="T13" s="108" t="inlineStr">
        <is>
          <t>&lt;broker_fees&gt;</t>
        </is>
      </c>
      <c r="U13" s="52" t="inlineStr">
        <is>
          <t>&lt;priority&gt;</t>
        </is>
      </c>
      <c r="V13" s="108">
        <f>P13-T13</f>
        <v/>
      </c>
      <c r="W13" t="inlineStr">
        <is>
          <t>&lt;sales_person&gt;</t>
        </is>
      </c>
      <c r="X13" t="inlineStr">
        <is>
          <t>&lt;revenue_type&gt;</t>
        </is>
      </c>
      <c r="Y13" t="inlineStr">
        <is>
          <t>&lt;billing_type&gt;</t>
        </is>
      </c>
      <c r="Z13" t="inlineStr">
        <is>
          <t>&lt;agency_flag&gt;</t>
        </is>
      </c>
      <c r="AA13" t="inlineStr">
        <is>
          <t>&lt;affidavit&gt;</t>
        </is>
      </c>
      <c r="AB13" s="52" t="inlineStr">
        <is>
          <t>&lt;contract&gt;</t>
        </is>
      </c>
      <c r="AC13" t="inlineStr">
        <is>
          <t>&lt;market&gt;</t>
        </is>
      </c>
    </row>
    <row r="14">
      <c r="B14" s="46" t="n"/>
      <c r="C14" s="30" t="n"/>
      <c r="D14" s="47" t="n"/>
      <c r="E14" s="48" t="n"/>
      <c r="F14" s="48" t="n"/>
      <c r="G14" s="48" t="n"/>
      <c r="I14" s="107" t="n"/>
      <c r="P14" s="109" t="n"/>
      <c r="R14" s="109" t="n"/>
      <c r="S14" s="51" t="n"/>
      <c r="T14" s="109" t="n"/>
      <c r="U14" s="52" t="n"/>
      <c r="V14" s="109" t="n"/>
      <c r="AB14" s="52" t="n"/>
    </row>
    <row r="15">
      <c r="B15" s="46" t="n"/>
      <c r="C15" s="30" t="n"/>
      <c r="D15" s="47" t="n"/>
      <c r="E15" s="48" t="n"/>
      <c r="F15" s="48" t="n"/>
      <c r="G15" s="48" t="n"/>
      <c r="I15" s="107" t="n"/>
      <c r="P15" s="109" t="n"/>
      <c r="R15" s="109" t="n"/>
      <c r="S15" s="51" t="n"/>
      <c r="T15" s="109" t="n"/>
      <c r="U15" s="52" t="n"/>
      <c r="V15" s="109" t="n"/>
      <c r="AB15" s="52" t="n"/>
    </row>
    <row r="16">
      <c r="B16" s="46" t="n"/>
      <c r="C16" s="30" t="n"/>
      <c r="D16" s="47" t="n"/>
      <c r="E16" s="48" t="n"/>
      <c r="F16" s="48" t="n"/>
      <c r="G16" s="48" t="n"/>
      <c r="I16" s="107" t="n"/>
      <c r="P16" s="109" t="n"/>
      <c r="R16" s="109" t="n"/>
      <c r="S16" s="51" t="n"/>
      <c r="T16" s="109" t="n"/>
      <c r="U16" s="52" t="n"/>
      <c r="V16" s="109" t="n"/>
      <c r="AB16" s="52" t="n"/>
    </row>
    <row r="17">
      <c r="B17" s="46" t="n"/>
      <c r="C17" s="30" t="n"/>
      <c r="D17" s="47" t="n"/>
      <c r="E17" s="48" t="n"/>
      <c r="F17" s="48" t="n"/>
      <c r="G17" s="48" t="n"/>
      <c r="I17" s="107" t="n"/>
      <c r="P17" s="109" t="n"/>
      <c r="R17" s="109" t="n"/>
      <c r="S17" s="51" t="n"/>
      <c r="T17" s="109" t="n"/>
      <c r="U17" s="52" t="n"/>
      <c r="V17" s="109" t="n"/>
      <c r="AB17" s="52" t="n"/>
    </row>
    <row r="18">
      <c r="B18" s="46" t="n"/>
      <c r="C18" s="30" t="n"/>
      <c r="D18" s="47" t="n"/>
      <c r="E18" s="48" t="n"/>
      <c r="F18" s="48" t="n"/>
      <c r="G18" s="48" t="n"/>
      <c r="I18" s="107" t="n"/>
      <c r="P18" s="109" t="n"/>
      <c r="R18" s="109" t="n"/>
      <c r="S18" s="51" t="n"/>
      <c r="T18" s="109" t="n"/>
      <c r="U18" s="52" t="n"/>
      <c r="V18" s="109" t="n"/>
      <c r="AB18" s="52" t="n"/>
    </row>
    <row r="19">
      <c r="B19" s="46" t="n"/>
      <c r="C19" s="30" t="n"/>
      <c r="D19" s="47" t="n"/>
      <c r="E19" s="48" t="n"/>
      <c r="F19" s="48" t="n"/>
      <c r="G19" s="48" t="n"/>
      <c r="I19" s="107" t="n"/>
      <c r="P19" s="109" t="n"/>
      <c r="R19" s="109" t="n"/>
      <c r="S19" s="51" t="n"/>
      <c r="T19" s="109" t="n"/>
      <c r="U19" s="52" t="n"/>
      <c r="V19" s="109" t="n"/>
      <c r="AB19" s="52" t="n"/>
    </row>
    <row r="20">
      <c r="B20" s="46" t="n"/>
      <c r="C20" s="30" t="n"/>
      <c r="D20" s="47" t="n"/>
      <c r="E20" s="48" t="n"/>
      <c r="F20" s="48" t="n"/>
      <c r="G20" s="48" t="n"/>
      <c r="I20" s="107" t="n"/>
      <c r="P20" s="109" t="n"/>
      <c r="R20" s="109" t="n"/>
      <c r="S20" s="51" t="n"/>
      <c r="T20" s="109" t="n"/>
      <c r="U20" s="52" t="n"/>
      <c r="V20" s="109" t="n"/>
      <c r="AB20" s="52" t="n"/>
    </row>
    <row r="21">
      <c r="B21" s="46" t="n"/>
      <c r="C21" s="30" t="n"/>
      <c r="D21" s="47" t="n"/>
      <c r="E21" s="48" t="n"/>
      <c r="F21" s="48" t="n"/>
      <c r="G21" s="48" t="n"/>
      <c r="I21" s="107" t="n"/>
      <c r="P21" s="109" t="n"/>
      <c r="R21" s="109" t="n"/>
      <c r="S21" s="51" t="n"/>
      <c r="T21" s="109" t="n"/>
      <c r="U21" s="52" t="n"/>
      <c r="V21" s="109" t="n"/>
      <c r="AB21" s="52" t="n"/>
    </row>
    <row r="22">
      <c r="B22" s="46" t="n"/>
      <c r="C22" s="30" t="n"/>
      <c r="D22" s="47" t="n"/>
      <c r="E22" s="48" t="n"/>
      <c r="F22" s="48" t="n"/>
      <c r="G22" s="48" t="n"/>
      <c r="I22" s="107" t="n"/>
      <c r="P22" s="109" t="n"/>
      <c r="R22" s="109" t="n"/>
      <c r="S22" s="51" t="n"/>
      <c r="T22" s="109" t="n"/>
      <c r="U22" s="52" t="n"/>
      <c r="V22" s="109" t="n"/>
      <c r="AB22" s="52" t="n"/>
    </row>
    <row r="23">
      <c r="B23" s="46" t="n"/>
      <c r="C23" s="30" t="n"/>
      <c r="D23" s="47" t="n"/>
      <c r="E23" s="48" t="n"/>
      <c r="F23" s="48" t="n"/>
      <c r="G23" s="48" t="n"/>
      <c r="I23" s="107" t="n"/>
      <c r="P23" s="109" t="n"/>
      <c r="R23" s="109" t="n"/>
      <c r="S23" s="51" t="n"/>
      <c r="T23" s="109" t="n"/>
      <c r="U23" s="52" t="n"/>
      <c r="V23" s="109" t="n"/>
      <c r="AB23" s="52" t="n"/>
    </row>
    <row r="24">
      <c r="B24" s="46" t="n"/>
      <c r="C24" s="30" t="n"/>
      <c r="D24" s="47" t="n"/>
      <c r="E24" s="48" t="n"/>
      <c r="F24" s="48" t="n"/>
      <c r="G24" s="48" t="n"/>
      <c r="I24" s="107" t="n"/>
      <c r="P24" s="109" t="n"/>
      <c r="R24" s="109" t="n"/>
      <c r="S24" s="51" t="n"/>
      <c r="T24" s="109" t="n"/>
      <c r="U24" s="52" t="n"/>
      <c r="V24" s="109" t="n"/>
      <c r="AB24" s="52" t="n"/>
    </row>
    <row r="25">
      <c r="B25" s="46" t="n"/>
      <c r="C25" s="30" t="n"/>
      <c r="D25" s="47" t="n"/>
      <c r="E25" s="48" t="n"/>
      <c r="F25" s="48" t="n"/>
      <c r="G25" s="48" t="n"/>
      <c r="I25" s="107" t="n"/>
      <c r="P25" s="109" t="n"/>
      <c r="R25" s="109" t="n"/>
      <c r="S25" s="51" t="n"/>
      <c r="T25" s="109" t="n"/>
      <c r="U25" s="52" t="n"/>
      <c r="V25" s="109" t="n"/>
      <c r="AB25" s="52" t="n"/>
    </row>
  </sheetData>
  <autoFilter ref="A1:AC1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6"/>
  <sheetViews>
    <sheetView workbookViewId="0">
      <selection activeCell="B5" sqref="B5"/>
    </sheetView>
  </sheetViews>
  <sheetFormatPr baseColWidth="8" defaultRowHeight="15"/>
  <cols>
    <col width="13.140625" customWidth="1" min="1" max="1"/>
    <col width="17.28515625" customWidth="1" min="2" max="2"/>
    <col width="17.85546875" bestFit="1" customWidth="1" min="3" max="3"/>
  </cols>
  <sheetData>
    <row r="3">
      <c r="A3" s="41" t="inlineStr">
        <is>
          <t>Row Labels</t>
        </is>
      </c>
      <c r="B3" t="inlineStr">
        <is>
          <t>Sum of Gross Rate</t>
        </is>
      </c>
      <c r="C3" t="inlineStr">
        <is>
          <t>Sum of Station Net</t>
        </is>
      </c>
    </row>
    <row r="4">
      <c r="A4" s="65" t="inlineStr">
        <is>
          <t>(blank)</t>
        </is>
      </c>
      <c r="B4" s="42" t="n"/>
      <c r="C4" s="42" t="n"/>
    </row>
    <row r="5">
      <c r="A5" s="65" t="inlineStr">
        <is>
          <t>&lt;month&gt;</t>
        </is>
      </c>
      <c r="B5" s="42" t="n">
        <v>0</v>
      </c>
      <c r="C5" s="42" t="n">
        <v>0</v>
      </c>
    </row>
    <row r="6">
      <c r="A6" s="65" t="inlineStr">
        <is>
          <t>Grand Total</t>
        </is>
      </c>
      <c r="B6" s="42" t="n">
        <v>0</v>
      </c>
      <c r="C6" s="42" t="n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Lee Hudson</dc:creator>
  <dcterms:created xsi:type="dcterms:W3CDTF">2010-05-13T01:42:58Z</dcterms:created>
  <dcterms:modified xsi:type="dcterms:W3CDTF">2026-06-05T05:29:15Z</dcterms:modified>
  <cp:lastModifiedBy>Lee Hudson</cp:lastModifiedBy>
  <cp:lastPrinted>2010-05-14T17:53:22Z</cp:lastPrinted>
</cp:coreProperties>
</file>