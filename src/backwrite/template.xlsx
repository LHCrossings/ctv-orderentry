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\\wsl.localhost\Ubuntu\home\scrib\dev\ctv-orderentry\src\backwrite\"/>
    </mc:Choice>
  </mc:AlternateContent>
  <xr:revisionPtr revIDLastSave="0" documentId="8_{5488E2A2-4ED9-4949-8121-9E00CEEBEEA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ales Confirmation" sheetId="1" r:id="rId1"/>
    <sheet name="Run Sheet" sheetId="2" r:id="rId2"/>
    <sheet name="Sheet1" sheetId="3" r:id="rId3"/>
  </sheets>
  <definedNames>
    <definedName name="_xlnm._FilterDatabase" localSheetId="1" hidden="1">'Run Sheet'!$A$1:$AC$1</definedName>
  </definedName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9" i="1" l="1"/>
  <c r="P19" i="1" s="1"/>
  <c r="L18" i="1"/>
  <c r="P18" i="1" s="1"/>
  <c r="L17" i="1"/>
  <c r="P17" i="1" s="1"/>
  <c r="C13" i="2"/>
  <c r="C12" i="2"/>
  <c r="C11" i="2"/>
  <c r="C10" i="2"/>
  <c r="C9" i="2"/>
  <c r="C8" i="2"/>
  <c r="C7" i="2"/>
  <c r="C6" i="2"/>
  <c r="C5" i="2"/>
  <c r="C4" i="2"/>
  <c r="C3" i="2"/>
  <c r="C2" i="2"/>
  <c r="D33" i="1"/>
  <c r="L16" i="1" l="1"/>
  <c r="L20" i="1" s="1"/>
  <c r="P16" i="1" l="1"/>
  <c r="P21" i="1" l="1"/>
  <c r="E32" i="1" l="1"/>
  <c r="E33" i="1" s="1"/>
</calcChain>
</file>

<file path=xl/sharedStrings.xml><?xml version="1.0" encoding="utf-8"?>
<sst xmlns="http://schemas.openxmlformats.org/spreadsheetml/2006/main" count="432" uniqueCount="116">
  <si>
    <t>Client</t>
  </si>
  <si>
    <t>Advertiser</t>
  </si>
  <si>
    <t>Contact</t>
  </si>
  <si>
    <t>Address</t>
  </si>
  <si>
    <t>Estimate</t>
  </si>
  <si>
    <t>Billing Type</t>
  </si>
  <si>
    <t>Phone</t>
  </si>
  <si>
    <t>Market</t>
  </si>
  <si>
    <t>Fax</t>
  </si>
  <si>
    <t>Email</t>
  </si>
  <si>
    <t>Contract Number</t>
  </si>
  <si>
    <t>Bill Code</t>
  </si>
  <si>
    <t>Air Date</t>
  </si>
  <si>
    <t>End Date</t>
  </si>
  <si>
    <t>Day</t>
  </si>
  <si>
    <t>Time In</t>
  </si>
  <si>
    <t>Time out</t>
  </si>
  <si>
    <t>Length</t>
  </si>
  <si>
    <t>Media</t>
  </si>
  <si>
    <t>Lang.</t>
  </si>
  <si>
    <t>Format</t>
  </si>
  <si>
    <t>#</t>
  </si>
  <si>
    <t>Type</t>
  </si>
  <si>
    <t>Make Good</t>
  </si>
  <si>
    <t>Spot Value</t>
  </si>
  <si>
    <t>Broker Fees</t>
  </si>
  <si>
    <t>Station Net</t>
  </si>
  <si>
    <t>Sales Person</t>
  </si>
  <si>
    <t>Revenue Type</t>
  </si>
  <si>
    <t>Agency?</t>
  </si>
  <si>
    <t>Affidavit?</t>
  </si>
  <si>
    <t>SALES CONFIRMATION - CROSSINGS TV</t>
  </si>
  <si>
    <t>Start Date</t>
  </si>
  <si>
    <t>Line Number</t>
  </si>
  <si>
    <t>TP/Program/Lang Ordered</t>
  </si>
  <si>
    <t>Total # of Units</t>
  </si>
  <si>
    <t># spt per</t>
  </si>
  <si>
    <t>Per ____</t>
  </si>
  <si>
    <t>Spot type</t>
  </si>
  <si>
    <t>Additional Notes</t>
  </si>
  <si>
    <t>Gross Rate</t>
  </si>
  <si>
    <t>Agency Discount</t>
  </si>
  <si>
    <t>spots</t>
  </si>
  <si>
    <t>Station Rep Signature</t>
  </si>
  <si>
    <t>Client Signature</t>
  </si>
  <si>
    <t>Date Order Written</t>
  </si>
  <si>
    <t>Program</t>
  </si>
  <si>
    <t>Revision</t>
  </si>
  <si>
    <t>Station Representative</t>
  </si>
  <si>
    <t>Gross Amount</t>
  </si>
  <si>
    <t>Net Amount of Contract</t>
  </si>
  <si>
    <t># of days, wks, mos</t>
  </si>
  <si>
    <t>Gross Unit Rate</t>
  </si>
  <si>
    <t>Gross Line Total</t>
  </si>
  <si>
    <t>MONTHLY BREAKDOWN</t>
  </si>
  <si>
    <t>Total</t>
  </si>
  <si>
    <t>Month</t>
  </si>
  <si>
    <t>Gross</t>
  </si>
  <si>
    <t>Net</t>
  </si>
  <si>
    <t>Line</t>
  </si>
  <si>
    <t>Row Labels</t>
  </si>
  <si>
    <t>(blank)</t>
  </si>
  <si>
    <t>Grand Total</t>
  </si>
  <si>
    <t>Sum of Gross Rate</t>
  </si>
  <si>
    <t>Sum of Station Net</t>
  </si>
  <si>
    <t>Priority</t>
  </si>
  <si>
    <t>Contract</t>
  </si>
  <si>
    <t>February</t>
  </si>
  <si>
    <t>&lt;agency&gt;</t>
  </si>
  <si>
    <t>&lt;sales_person&gt;</t>
  </si>
  <si>
    <t>&lt;contract&gt;</t>
  </si>
  <si>
    <t>&lt;address&gt;</t>
  </si>
  <si>
    <t>&lt;city&gt;</t>
  </si>
  <si>
    <t>&lt;state&gt;</t>
  </si>
  <si>
    <t>&lt;zip&gt;</t>
  </si>
  <si>
    <t>&lt;client&gt;</t>
  </si>
  <si>
    <t>&lt;order_date&gt;</t>
  </si>
  <si>
    <t>&lt;billing_type&gt;</t>
  </si>
  <si>
    <t>&lt;estimate&gt;</t>
  </si>
  <si>
    <t>&lt;market&gt;</t>
  </si>
  <si>
    <t>&lt;date_range_start&gt;</t>
  </si>
  <si>
    <t>&lt;date_range_end&gt;</t>
  </si>
  <si>
    <t>&lt;spot_count&gt;</t>
  </si>
  <si>
    <t xml:space="preserve"> &lt;gross_rate&gt;</t>
  </si>
  <si>
    <t>&lt;type&gt;</t>
  </si>
  <si>
    <t>&lt;length&gt;</t>
  </si>
  <si>
    <t>&lt;air_date&gt;</t>
  </si>
  <si>
    <t>&lt;time_in&gt;</t>
  </si>
  <si>
    <t>&lt;time_out&gt;</t>
  </si>
  <si>
    <t>&lt;media&gt;</t>
  </si>
  <si>
    <t>&lt;program&gt;</t>
  </si>
  <si>
    <t>&lt;lang&gt;</t>
  </si>
  <si>
    <t>&lt;line&gt;</t>
  </si>
  <si>
    <t>&lt;gross_rate&gt;</t>
  </si>
  <si>
    <t>&lt;broker_fees&gt;</t>
  </si>
  <si>
    <t>&lt;priority&gt;</t>
  </si>
  <si>
    <t>&lt;station_net&gt;</t>
  </si>
  <si>
    <t>&lt;revenue_type&gt;</t>
  </si>
  <si>
    <t>&lt;agency_flag&gt;</t>
  </si>
  <si>
    <t>&lt;affidavit&gt;</t>
  </si>
  <si>
    <t>&lt;month&gt;</t>
  </si>
  <si>
    <t>&lt;bill_code&gt;</t>
  </si>
  <si>
    <t>&lt;spot_value&gt;</t>
  </si>
  <si>
    <t>&lt;day&gt;</t>
  </si>
  <si>
    <t>&lt;total_gross&gt;</t>
  </si>
  <si>
    <t>&lt;total_net&gt;</t>
  </si>
  <si>
    <t>&lt;phone&gt;</t>
  </si>
  <si>
    <t>&lt;fax&gt;</t>
  </si>
  <si>
    <t>&lt;email_1&gt;</t>
  </si>
  <si>
    <t>&lt;email_2&gt;</t>
  </si>
  <si>
    <t>&lt;email_3&gt;</t>
  </si>
  <si>
    <t>&lt;email_4&gt;</t>
  </si>
  <si>
    <t>&lt;contact_person&gt;</t>
  </si>
  <si>
    <t>&lt;line_description&gt;</t>
  </si>
  <si>
    <t>&lt;per&gt;</t>
  </si>
  <si>
    <t>&lt;notes&gt;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</si>
</sst>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$&quot;#,##0.00_);\(&quot;$&quot;#,##0.00\)"/>
    <numFmt numFmtId="44" formatCode="_(&quot;$&quot;* #,##0.00_);_(&quot;$&quot;* \(#,##0.00\);_(&quot;$&quot;* &quot;-&quot;??_);_(@_)"/>
    <numFmt numFmtId="164" formatCode="[&lt;=9999999]###\-####;\(###\)\ ###\-####"/>
    <numFmt numFmtId="165" formatCode="[h]:mm:ss;@"/>
    <numFmt numFmtId="166" formatCode="m/d/yy"/>
    <numFmt numFmtId="167" formatCode="[$-409]mmmm\-yy;@"/>
    <numFmt numFmtId="168" formatCode="&quot;$&quot;#,##0.00"/>
  </numFmts>
  <fonts count="27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u/>
      <sz val="11"/>
      <color indexed="8"/>
      <name val="Calibri"/>
      <family val="2"/>
    </font>
    <font>
      <sz val="12"/>
      <name val="Arial"/>
      <family val="2"/>
    </font>
    <font>
      <b/>
      <sz val="11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  <font>
      <sz val="10"/>
      <name val="Arial"/>
      <family val="2"/>
    </font>
    <font>
      <b/>
      <i/>
      <sz val="11"/>
      <color indexed="8"/>
      <name val="Calibri"/>
      <family val="2"/>
    </font>
    <font>
      <i/>
      <sz val="11"/>
      <color indexed="8"/>
      <name val="Calibri"/>
      <family val="2"/>
    </font>
    <font>
      <sz val="9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u/>
      <sz val="11"/>
      <color theme="10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64"/>
      </patternFill>
    </fill>
  </fills>
  <borders count="30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/>
      <right style="thick">
        <color indexed="64"/>
      </right>
      <top/>
      <bottom style="double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double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9">
    <xf numFmtId="0" fontId="0" fillId="0" borderId="0"/>
    <xf numFmtId="0" fontId="5" fillId="2" borderId="0" applyNumberFormat="0" applyBorder="0" applyAlignment="0" applyProtection="0"/>
    <xf numFmtId="0" fontId="5" fillId="2" borderId="0" applyNumberFormat="0" applyBorder="0" applyAlignment="0" applyProtection="0"/>
    <xf numFmtId="0" fontId="5" fillId="3" borderId="0" applyNumberFormat="0" applyBorder="0" applyAlignment="0" applyProtection="0"/>
    <xf numFmtId="0" fontId="5" fillId="3" borderId="0" applyNumberFormat="0" applyBorder="0" applyAlignment="0" applyProtection="0"/>
    <xf numFmtId="0" fontId="5" fillId="4" borderId="0" applyNumberFormat="0" applyBorder="0" applyAlignment="0" applyProtection="0"/>
    <xf numFmtId="0" fontId="5" fillId="4" borderId="0" applyNumberFormat="0" applyBorder="0" applyAlignment="0" applyProtection="0"/>
    <xf numFmtId="0" fontId="5" fillId="5" borderId="0" applyNumberFormat="0" applyBorder="0" applyAlignment="0" applyProtection="0"/>
    <xf numFmtId="0" fontId="5" fillId="5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5" borderId="0" applyNumberFormat="0" applyBorder="0" applyAlignment="0" applyProtection="0"/>
    <xf numFmtId="0" fontId="5" fillId="5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11" fillId="12" borderId="0" applyNumberFormat="0" applyBorder="0" applyAlignment="0" applyProtection="0"/>
    <xf numFmtId="0" fontId="11" fillId="12" borderId="0" applyNumberFormat="0" applyBorder="0" applyAlignment="0" applyProtection="0"/>
    <xf numFmtId="0" fontId="11" fillId="9" borderId="0" applyNumberFormat="0" applyBorder="0" applyAlignment="0" applyProtection="0"/>
    <xf numFmtId="0" fontId="11" fillId="9" borderId="0" applyNumberFormat="0" applyBorder="0" applyAlignment="0" applyProtection="0"/>
    <xf numFmtId="0" fontId="11" fillId="10" borderId="0" applyNumberFormat="0" applyBorder="0" applyAlignment="0" applyProtection="0"/>
    <xf numFmtId="0" fontId="11" fillId="10" borderId="0" applyNumberFormat="0" applyBorder="0" applyAlignment="0" applyProtection="0"/>
    <xf numFmtId="0" fontId="11" fillId="13" borderId="0" applyNumberFormat="0" applyBorder="0" applyAlignment="0" applyProtection="0"/>
    <xf numFmtId="0" fontId="11" fillId="13" borderId="0" applyNumberFormat="0" applyBorder="0" applyAlignment="0" applyProtection="0"/>
    <xf numFmtId="0" fontId="11" fillId="14" borderId="0" applyNumberFormat="0" applyBorder="0" applyAlignment="0" applyProtection="0"/>
    <xf numFmtId="0" fontId="11" fillId="14" borderId="0" applyNumberFormat="0" applyBorder="0" applyAlignment="0" applyProtection="0"/>
    <xf numFmtId="0" fontId="11" fillId="15" borderId="0" applyNumberFormat="0" applyBorder="0" applyAlignment="0" applyProtection="0"/>
    <xf numFmtId="0" fontId="11" fillId="15" borderId="0" applyNumberFormat="0" applyBorder="0" applyAlignment="0" applyProtection="0"/>
    <xf numFmtId="0" fontId="11" fillId="16" borderId="0" applyNumberFormat="0" applyBorder="0" applyAlignment="0" applyProtection="0"/>
    <xf numFmtId="0" fontId="11" fillId="16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8" borderId="0" applyNumberFormat="0" applyBorder="0" applyAlignment="0" applyProtection="0"/>
    <xf numFmtId="0" fontId="11" fillId="18" borderId="0" applyNumberFormat="0" applyBorder="0" applyAlignment="0" applyProtection="0"/>
    <xf numFmtId="0" fontId="11" fillId="13" borderId="0" applyNumberFormat="0" applyBorder="0" applyAlignment="0" applyProtection="0"/>
    <xf numFmtId="0" fontId="11" fillId="13" borderId="0" applyNumberFormat="0" applyBorder="0" applyAlignment="0" applyProtection="0"/>
    <xf numFmtId="0" fontId="11" fillId="14" borderId="0" applyNumberFormat="0" applyBorder="0" applyAlignment="0" applyProtection="0"/>
    <xf numFmtId="0" fontId="11" fillId="14" borderId="0" applyNumberFormat="0" applyBorder="0" applyAlignment="0" applyProtection="0"/>
    <xf numFmtId="0" fontId="11" fillId="19" borderId="0" applyNumberFormat="0" applyBorder="0" applyAlignment="0" applyProtection="0"/>
    <xf numFmtId="0" fontId="11" fillId="19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3" fillId="20" borderId="1" applyNumberFormat="0" applyAlignment="0" applyProtection="0"/>
    <xf numFmtId="0" fontId="13" fillId="20" borderId="1" applyNumberFormat="0" applyAlignment="0" applyProtection="0"/>
    <xf numFmtId="0" fontId="14" fillId="21" borderId="2" applyNumberFormat="0" applyAlignment="0" applyProtection="0"/>
    <xf numFmtId="0" fontId="14" fillId="21" borderId="2" applyNumberFormat="0" applyAlignment="0" applyProtection="0"/>
    <xf numFmtId="44" fontId="5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7" fillId="0" borderId="3" applyNumberFormat="0" applyFill="0" applyAlignment="0" applyProtection="0"/>
    <xf numFmtId="0" fontId="17" fillId="0" borderId="3" applyNumberFormat="0" applyFill="0" applyAlignment="0" applyProtection="0"/>
    <xf numFmtId="0" fontId="18" fillId="0" borderId="4" applyNumberFormat="0" applyFill="0" applyAlignment="0" applyProtection="0"/>
    <xf numFmtId="0" fontId="18" fillId="0" borderId="4" applyNumberFormat="0" applyFill="0" applyAlignment="0" applyProtection="0"/>
    <xf numFmtId="0" fontId="19" fillId="0" borderId="5" applyNumberFormat="0" applyFill="0" applyAlignment="0" applyProtection="0"/>
    <xf numFmtId="0" fontId="19" fillId="0" borderId="5" applyNumberFormat="0" applyFill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26" fillId="0" borderId="0" applyNumberFormat="0" applyFill="0" applyBorder="0" applyAlignment="0" applyProtection="0">
      <alignment vertical="top"/>
      <protection locked="0"/>
    </xf>
    <xf numFmtId="0" fontId="20" fillId="7" borderId="1" applyNumberFormat="0" applyAlignment="0" applyProtection="0"/>
    <xf numFmtId="0" fontId="20" fillId="7" borderId="1" applyNumberFormat="0" applyAlignment="0" applyProtection="0"/>
    <xf numFmtId="0" fontId="21" fillId="0" borderId="6" applyNumberFormat="0" applyFill="0" applyAlignment="0" applyProtection="0"/>
    <xf numFmtId="0" fontId="21" fillId="0" borderId="6" applyNumberFormat="0" applyFill="0" applyAlignment="0" applyProtection="0"/>
    <xf numFmtId="0" fontId="22" fillId="22" borderId="0" applyNumberFormat="0" applyBorder="0" applyAlignment="0" applyProtection="0"/>
    <xf numFmtId="0" fontId="22" fillId="22" borderId="0" applyNumberFormat="0" applyBorder="0" applyAlignment="0" applyProtection="0"/>
    <xf numFmtId="0" fontId="7" fillId="0" borderId="0"/>
    <xf numFmtId="0" fontId="3" fillId="0" borderId="0"/>
    <xf numFmtId="0" fontId="7" fillId="23" borderId="7" applyNumberFormat="0" applyFont="0" applyAlignment="0" applyProtection="0"/>
    <xf numFmtId="0" fontId="7" fillId="23" borderId="7" applyNumberFormat="0" applyFont="0" applyAlignment="0" applyProtection="0"/>
    <xf numFmtId="0" fontId="23" fillId="20" borderId="8" applyNumberFormat="0" applyAlignment="0" applyProtection="0"/>
    <xf numFmtId="0" fontId="23" fillId="20" borderId="8" applyNumberFormat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1" fillId="0" borderId="9" applyNumberFormat="0" applyFill="0" applyAlignment="0" applyProtection="0"/>
    <xf numFmtId="0" fontId="1" fillId="0" borderId="9" applyNumberFormat="0" applyFill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</cellStyleXfs>
  <cellXfs count="91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right"/>
    </xf>
    <xf numFmtId="0" fontId="0" fillId="0" borderId="0" xfId="0" applyAlignment="1">
      <alignment horizontal="left"/>
    </xf>
    <xf numFmtId="0" fontId="4" fillId="24" borderId="11" xfId="78" applyFont="1" applyFill="1" applyBorder="1" applyAlignment="1">
      <alignment horizontal="center" vertical="top" wrapText="1"/>
    </xf>
    <xf numFmtId="14" fontId="4" fillId="24" borderId="11" xfId="78" applyNumberFormat="1" applyFont="1" applyFill="1" applyBorder="1" applyAlignment="1">
      <alignment horizontal="center" vertical="top" wrapText="1"/>
    </xf>
    <xf numFmtId="165" fontId="4" fillId="24" borderId="11" xfId="78" applyNumberFormat="1" applyFont="1" applyFill="1" applyBorder="1" applyAlignment="1">
      <alignment horizontal="center" vertical="top" wrapText="1"/>
    </xf>
    <xf numFmtId="21" fontId="4" fillId="24" borderId="11" xfId="78" applyNumberFormat="1" applyFont="1" applyFill="1" applyBorder="1" applyAlignment="1">
      <alignment horizontal="center" vertical="top" wrapText="1"/>
    </xf>
    <xf numFmtId="44" fontId="4" fillId="24" borderId="11" xfId="55" applyFont="1" applyFill="1" applyBorder="1" applyAlignment="1" applyProtection="1">
      <alignment horizontal="center" vertical="top" wrapText="1"/>
    </xf>
    <xf numFmtId="0" fontId="6" fillId="0" borderId="0" xfId="0" applyFont="1" applyAlignment="1">
      <alignment horizontal="center" vertical="center" wrapText="1"/>
    </xf>
    <xf numFmtId="166" fontId="6" fillId="0" borderId="0" xfId="0" applyNumberFormat="1" applyFont="1" applyAlignment="1" applyProtection="1">
      <alignment horizontal="center" vertical="center" wrapText="1"/>
      <protection locked="0"/>
    </xf>
    <xf numFmtId="14" fontId="6" fillId="0" borderId="0" xfId="0" applyNumberFormat="1" applyFont="1" applyAlignment="1">
      <alignment horizontal="center" vertical="center" wrapText="1"/>
    </xf>
    <xf numFmtId="165" fontId="6" fillId="0" borderId="0" xfId="0" applyNumberFormat="1" applyFont="1" applyAlignment="1">
      <alignment horizontal="center" vertical="center" wrapText="1"/>
    </xf>
    <xf numFmtId="44" fontId="6" fillId="0" borderId="0" xfId="56" applyFont="1" applyFill="1" applyBorder="1" applyAlignment="1" applyProtection="1">
      <alignment horizontal="center" vertical="center" wrapText="1"/>
    </xf>
    <xf numFmtId="0" fontId="5" fillId="0" borderId="12" xfId="0" applyFont="1" applyBorder="1"/>
    <xf numFmtId="0" fontId="9" fillId="0" borderId="12" xfId="0" applyFont="1" applyBorder="1" applyAlignment="1">
      <alignment horizontal="center"/>
    </xf>
    <xf numFmtId="44" fontId="9" fillId="0" borderId="13" xfId="0" applyNumberFormat="1" applyFont="1" applyBorder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center"/>
    </xf>
    <xf numFmtId="0" fontId="9" fillId="0" borderId="14" xfId="0" applyFont="1" applyBorder="1" applyAlignment="1">
      <alignment horizontal="center"/>
    </xf>
    <xf numFmtId="9" fontId="9" fillId="0" borderId="14" xfId="0" applyNumberFormat="1" applyFont="1" applyBorder="1" applyAlignment="1">
      <alignment horizontal="center"/>
    </xf>
    <xf numFmtId="44" fontId="9" fillId="0" borderId="15" xfId="0" applyNumberFormat="1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5" fillId="0" borderId="17" xfId="0" applyFont="1" applyBorder="1" applyAlignment="1">
      <alignment horizontal="center"/>
    </xf>
    <xf numFmtId="44" fontId="5" fillId="0" borderId="18" xfId="0" applyNumberFormat="1" applyFont="1" applyBorder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0" fontId="9" fillId="0" borderId="13" xfId="0" applyFont="1" applyBorder="1" applyAlignment="1">
      <alignment horizontal="center"/>
    </xf>
    <xf numFmtId="0" fontId="9" fillId="0" borderId="19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26" fillId="0" borderId="0" xfId="70" applyBorder="1" applyAlignment="1" applyProtection="1"/>
    <xf numFmtId="9" fontId="9" fillId="0" borderId="20" xfId="0" applyNumberFormat="1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44" fontId="6" fillId="0" borderId="0" xfId="55" applyFont="1" applyFill="1" applyBorder="1" applyAlignment="1" applyProtection="1">
      <alignment horizontal="center" vertical="center" wrapText="1"/>
    </xf>
    <xf numFmtId="1" fontId="9" fillId="0" borderId="21" xfId="0" applyNumberFormat="1" applyFont="1" applyBorder="1" applyAlignment="1">
      <alignment horizontal="center"/>
    </xf>
    <xf numFmtId="166" fontId="6" fillId="0" borderId="0" xfId="0" applyNumberFormat="1" applyFont="1" applyAlignment="1">
      <alignment horizontal="center" vertical="center" wrapText="1"/>
    </xf>
    <xf numFmtId="0" fontId="1" fillId="0" borderId="0" xfId="0" applyFont="1"/>
    <xf numFmtId="0" fontId="5" fillId="0" borderId="14" xfId="0" applyFont="1" applyBorder="1"/>
    <xf numFmtId="44" fontId="5" fillId="0" borderId="14" xfId="55" applyFont="1" applyBorder="1"/>
    <xf numFmtId="44" fontId="5" fillId="0" borderId="0" xfId="55" applyFont="1" applyAlignment="1">
      <alignment horizontal="center"/>
    </xf>
    <xf numFmtId="44" fontId="5" fillId="0" borderId="14" xfId="0" applyNumberFormat="1" applyFont="1" applyBorder="1"/>
    <xf numFmtId="0" fontId="9" fillId="0" borderId="0" xfId="0" applyFont="1"/>
    <xf numFmtId="44" fontId="5" fillId="0" borderId="0" xfId="0" applyNumberFormat="1" applyFont="1" applyAlignment="1">
      <alignment horizontal="center"/>
    </xf>
    <xf numFmtId="0" fontId="0" fillId="0" borderId="10" xfId="0" applyBorder="1" applyAlignment="1">
      <alignment horizontal="center"/>
    </xf>
    <xf numFmtId="167" fontId="4" fillId="24" borderId="11" xfId="55" applyNumberFormat="1" applyFont="1" applyFill="1" applyBorder="1" applyAlignment="1" applyProtection="1">
      <alignment horizontal="center" vertical="top" wrapText="1"/>
    </xf>
    <xf numFmtId="167" fontId="0" fillId="0" borderId="0" xfId="0" applyNumberFormat="1"/>
    <xf numFmtId="0" fontId="0" fillId="0" borderId="0" xfId="0" pivotButton="1"/>
    <xf numFmtId="168" fontId="0" fillId="0" borderId="0" xfId="0" applyNumberFormat="1"/>
    <xf numFmtId="1" fontId="0" fillId="0" borderId="0" xfId="0" applyNumberFormat="1" applyAlignment="1">
      <alignment horizontal="center" vertical="center"/>
    </xf>
    <xf numFmtId="1" fontId="4" fillId="24" borderId="11" xfId="55" applyNumberFormat="1" applyFont="1" applyFill="1" applyBorder="1" applyAlignment="1" applyProtection="1">
      <alignment horizontal="center" vertical="top" wrapText="1"/>
    </xf>
    <xf numFmtId="1" fontId="0" fillId="0" borderId="0" xfId="0" applyNumberFormat="1"/>
    <xf numFmtId="166" fontId="0" fillId="0" borderId="0" xfId="0" applyNumberFormat="1"/>
    <xf numFmtId="14" fontId="0" fillId="0" borderId="0" xfId="0" applyNumberFormat="1"/>
    <xf numFmtId="46" fontId="6" fillId="0" borderId="0" xfId="0" applyNumberFormat="1" applyFont="1" applyAlignment="1">
      <alignment horizontal="center" vertical="center" wrapText="1"/>
    </xf>
    <xf numFmtId="165" fontId="0" fillId="0" borderId="0" xfId="0" applyNumberFormat="1"/>
    <xf numFmtId="7" fontId="6" fillId="0" borderId="0" xfId="56" applyNumberFormat="1" applyFont="1" applyAlignment="1">
      <alignment horizontal="center" vertical="center" wrapText="1"/>
    </xf>
    <xf numFmtId="17" fontId="0" fillId="0" borderId="0" xfId="0" applyNumberFormat="1"/>
    <xf numFmtId="1" fontId="7" fillId="0" borderId="0" xfId="56" applyNumberFormat="1"/>
    <xf numFmtId="7" fontId="6" fillId="0" borderId="0" xfId="0" applyNumberFormat="1" applyFont="1" applyAlignment="1">
      <alignment horizontal="center" vertical="center" wrapText="1"/>
    </xf>
    <xf numFmtId="0" fontId="0" fillId="0" borderId="10" xfId="0" applyBorder="1" applyAlignment="1">
      <alignment horizontal="left"/>
    </xf>
    <xf numFmtId="0" fontId="0" fillId="0" borderId="0" xfId="0" applyAlignment="1">
      <alignment horizontal="left"/>
    </xf>
    <xf numFmtId="0" fontId="2" fillId="0" borderId="10" xfId="0" applyFont="1" applyBorder="1" applyAlignment="1">
      <alignment horizontal="center"/>
    </xf>
    <xf numFmtId="14" fontId="0" fillId="0" borderId="0" xfId="0" applyNumberFormat="1" applyAlignment="1">
      <alignment horizontal="left"/>
    </xf>
    <xf numFmtId="164" fontId="0" fillId="0" borderId="10" xfId="0" applyNumberFormat="1" applyBorder="1" applyAlignment="1">
      <alignment horizontal="left"/>
    </xf>
    <xf numFmtId="0" fontId="26" fillId="0" borderId="22" xfId="70" applyBorder="1" applyAlignment="1" applyProtection="1"/>
    <xf numFmtId="0" fontId="0" fillId="0" borderId="22" xfId="0" applyBorder="1"/>
    <xf numFmtId="0" fontId="2" fillId="0" borderId="0" xfId="0" applyFont="1" applyAlignment="1">
      <alignment horizontal="center"/>
    </xf>
    <xf numFmtId="0" fontId="0" fillId="0" borderId="22" xfId="0" applyBorder="1" applyAlignment="1">
      <alignment horizontal="left"/>
    </xf>
    <xf numFmtId="0" fontId="0" fillId="0" borderId="23" xfId="0" applyBorder="1" applyAlignment="1">
      <alignment horizontal="center" vertical="top" wrapText="1"/>
    </xf>
    <xf numFmtId="0" fontId="5" fillId="0" borderId="24" xfId="0" applyFont="1" applyBorder="1" applyAlignment="1">
      <alignment horizontal="center" vertical="top" wrapText="1"/>
    </xf>
    <xf numFmtId="0" fontId="5" fillId="0" borderId="25" xfId="0" applyFont="1" applyBorder="1" applyAlignment="1">
      <alignment horizontal="center" vertical="top" wrapText="1"/>
    </xf>
    <xf numFmtId="0" fontId="5" fillId="0" borderId="26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27" xfId="0" applyFont="1" applyBorder="1" applyAlignment="1">
      <alignment horizontal="center" vertical="top" wrapText="1"/>
    </xf>
    <xf numFmtId="0" fontId="5" fillId="0" borderId="28" xfId="0" applyFont="1" applyBorder="1" applyAlignment="1">
      <alignment horizontal="center" vertical="top" wrapText="1"/>
    </xf>
    <xf numFmtId="0" fontId="5" fillId="0" borderId="10" xfId="0" applyFont="1" applyBorder="1" applyAlignment="1">
      <alignment horizontal="center" vertical="top" wrapText="1"/>
    </xf>
    <xf numFmtId="0" fontId="5" fillId="0" borderId="29" xfId="0" applyFont="1" applyBorder="1" applyAlignment="1">
      <alignment horizontal="center" vertical="top" wrapText="1"/>
    </xf>
    <xf numFmtId="0" fontId="1" fillId="0" borderId="0" xfId="0" applyFont="1" applyAlignment="1">
      <alignment horizontal="center"/>
    </xf>
    <xf numFmtId="0" fontId="6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8" fillId="0" borderId="0" xfId="0" applyFont="1" applyBorder="1" applyAlignment="1">
      <alignment horizontal="right"/>
    </xf>
    <xf numFmtId="0" fontId="9" fillId="0" borderId="0" xfId="0" applyFont="1" applyBorder="1" applyAlignment="1">
      <alignment horizontal="center"/>
    </xf>
    <xf numFmtId="1" fontId="0" fillId="0" borderId="0" xfId="0" applyNumberFormat="1" applyBorder="1" applyAlignment="1">
      <alignment horizontal="center" vertical="center"/>
    </xf>
    <xf numFmtId="166" fontId="6" fillId="0" borderId="0" xfId="0" applyNumberFormat="1" applyFont="1" applyBorder="1" applyAlignment="1" applyProtection="1">
      <alignment horizontal="center" vertical="center" wrapText="1"/>
      <protection locked="0"/>
    </xf>
    <xf numFmtId="14" fontId="6" fillId="0" borderId="0" xfId="0" applyNumberFormat="1" applyFont="1" applyBorder="1" applyAlignment="1">
      <alignment horizontal="center" vertical="center" wrapText="1"/>
    </xf>
    <xf numFmtId="165" fontId="6" fillId="0" borderId="0" xfId="0" applyNumberFormat="1" applyFont="1" applyBorder="1" applyAlignment="1">
      <alignment horizontal="center" vertical="center" wrapText="1"/>
    </xf>
  </cellXfs>
  <cellStyles count="89">
    <cellStyle name="20% - Accent1 2" xfId="1" xr:uid="{00000000-0005-0000-0000-000000000000}"/>
    <cellStyle name="20% - Accent1 3" xfId="2" xr:uid="{00000000-0005-0000-0000-000001000000}"/>
    <cellStyle name="20% - Accent2 2" xfId="3" xr:uid="{00000000-0005-0000-0000-000002000000}"/>
    <cellStyle name="20% - Accent2 3" xfId="4" xr:uid="{00000000-0005-0000-0000-000003000000}"/>
    <cellStyle name="20% - Accent3 2" xfId="5" xr:uid="{00000000-0005-0000-0000-000004000000}"/>
    <cellStyle name="20% - Accent3 3" xfId="6" xr:uid="{00000000-0005-0000-0000-000005000000}"/>
    <cellStyle name="20% - Accent4 2" xfId="7" xr:uid="{00000000-0005-0000-0000-000006000000}"/>
    <cellStyle name="20% - Accent4 3" xfId="8" xr:uid="{00000000-0005-0000-0000-000007000000}"/>
    <cellStyle name="20% - Accent5 2" xfId="9" xr:uid="{00000000-0005-0000-0000-000008000000}"/>
    <cellStyle name="20% - Accent5 3" xfId="10" xr:uid="{00000000-0005-0000-0000-000009000000}"/>
    <cellStyle name="20% - Accent6 2" xfId="11" xr:uid="{00000000-0005-0000-0000-00000A000000}"/>
    <cellStyle name="20% - Accent6 3" xfId="12" xr:uid="{00000000-0005-0000-0000-00000B000000}"/>
    <cellStyle name="40% - Accent1 2" xfId="13" xr:uid="{00000000-0005-0000-0000-00000C000000}"/>
    <cellStyle name="40% - Accent1 3" xfId="14" xr:uid="{00000000-0005-0000-0000-00000D000000}"/>
    <cellStyle name="40% - Accent2 2" xfId="15" xr:uid="{00000000-0005-0000-0000-00000E000000}"/>
    <cellStyle name="40% - Accent2 3" xfId="16" xr:uid="{00000000-0005-0000-0000-00000F000000}"/>
    <cellStyle name="40% - Accent3 2" xfId="17" xr:uid="{00000000-0005-0000-0000-000010000000}"/>
    <cellStyle name="40% - Accent3 3" xfId="18" xr:uid="{00000000-0005-0000-0000-000011000000}"/>
    <cellStyle name="40% - Accent4 2" xfId="19" xr:uid="{00000000-0005-0000-0000-000012000000}"/>
    <cellStyle name="40% - Accent4 3" xfId="20" xr:uid="{00000000-0005-0000-0000-000013000000}"/>
    <cellStyle name="40% - Accent5 2" xfId="21" xr:uid="{00000000-0005-0000-0000-000014000000}"/>
    <cellStyle name="40% - Accent5 3" xfId="22" xr:uid="{00000000-0005-0000-0000-000015000000}"/>
    <cellStyle name="40% - Accent6 2" xfId="23" xr:uid="{00000000-0005-0000-0000-000016000000}"/>
    <cellStyle name="40% - Accent6 3" xfId="24" xr:uid="{00000000-0005-0000-0000-000017000000}"/>
    <cellStyle name="60% - Accent1 2" xfId="25" xr:uid="{00000000-0005-0000-0000-000018000000}"/>
    <cellStyle name="60% - Accent1 3" xfId="26" xr:uid="{00000000-0005-0000-0000-000019000000}"/>
    <cellStyle name="60% - Accent2 2" xfId="27" xr:uid="{00000000-0005-0000-0000-00001A000000}"/>
    <cellStyle name="60% - Accent2 3" xfId="28" xr:uid="{00000000-0005-0000-0000-00001B000000}"/>
    <cellStyle name="60% - Accent3 2" xfId="29" xr:uid="{00000000-0005-0000-0000-00001C000000}"/>
    <cellStyle name="60% - Accent3 3" xfId="30" xr:uid="{00000000-0005-0000-0000-00001D000000}"/>
    <cellStyle name="60% - Accent4 2" xfId="31" xr:uid="{00000000-0005-0000-0000-00001E000000}"/>
    <cellStyle name="60% - Accent4 3" xfId="32" xr:uid="{00000000-0005-0000-0000-00001F000000}"/>
    <cellStyle name="60% - Accent5 2" xfId="33" xr:uid="{00000000-0005-0000-0000-000020000000}"/>
    <cellStyle name="60% - Accent5 3" xfId="34" xr:uid="{00000000-0005-0000-0000-000021000000}"/>
    <cellStyle name="60% - Accent6 2" xfId="35" xr:uid="{00000000-0005-0000-0000-000022000000}"/>
    <cellStyle name="60% - Accent6 3" xfId="36" xr:uid="{00000000-0005-0000-0000-000023000000}"/>
    <cellStyle name="Accent1 2" xfId="37" xr:uid="{00000000-0005-0000-0000-000024000000}"/>
    <cellStyle name="Accent1 3" xfId="38" xr:uid="{00000000-0005-0000-0000-000025000000}"/>
    <cellStyle name="Accent2 2" xfId="39" xr:uid="{00000000-0005-0000-0000-000026000000}"/>
    <cellStyle name="Accent2 3" xfId="40" xr:uid="{00000000-0005-0000-0000-000027000000}"/>
    <cellStyle name="Accent3 2" xfId="41" xr:uid="{00000000-0005-0000-0000-000028000000}"/>
    <cellStyle name="Accent3 3" xfId="42" xr:uid="{00000000-0005-0000-0000-000029000000}"/>
    <cellStyle name="Accent4 2" xfId="43" xr:uid="{00000000-0005-0000-0000-00002A000000}"/>
    <cellStyle name="Accent4 3" xfId="44" xr:uid="{00000000-0005-0000-0000-00002B000000}"/>
    <cellStyle name="Accent5 2" xfId="45" xr:uid="{00000000-0005-0000-0000-00002C000000}"/>
    <cellStyle name="Accent5 3" xfId="46" xr:uid="{00000000-0005-0000-0000-00002D000000}"/>
    <cellStyle name="Accent6 2" xfId="47" xr:uid="{00000000-0005-0000-0000-00002E000000}"/>
    <cellStyle name="Accent6 3" xfId="48" xr:uid="{00000000-0005-0000-0000-00002F000000}"/>
    <cellStyle name="Bad 2" xfId="49" xr:uid="{00000000-0005-0000-0000-000030000000}"/>
    <cellStyle name="Bad 3" xfId="50" xr:uid="{00000000-0005-0000-0000-000031000000}"/>
    <cellStyle name="Calculation 2" xfId="51" xr:uid="{00000000-0005-0000-0000-000032000000}"/>
    <cellStyle name="Calculation 3" xfId="52" xr:uid="{00000000-0005-0000-0000-000033000000}"/>
    <cellStyle name="Check Cell 2" xfId="53" xr:uid="{00000000-0005-0000-0000-000034000000}"/>
    <cellStyle name="Check Cell 3" xfId="54" xr:uid="{00000000-0005-0000-0000-000035000000}"/>
    <cellStyle name="Currency" xfId="55" builtinId="4"/>
    <cellStyle name="Currency 2" xfId="56" xr:uid="{00000000-0005-0000-0000-000037000000}"/>
    <cellStyle name="Currency 3" xfId="57" xr:uid="{00000000-0005-0000-0000-000038000000}"/>
    <cellStyle name="Explanatory Text 2" xfId="58" xr:uid="{00000000-0005-0000-0000-000039000000}"/>
    <cellStyle name="Explanatory Text 3" xfId="59" xr:uid="{00000000-0005-0000-0000-00003A000000}"/>
    <cellStyle name="Good 2" xfId="60" xr:uid="{00000000-0005-0000-0000-00003B000000}"/>
    <cellStyle name="Good 3" xfId="61" xr:uid="{00000000-0005-0000-0000-00003C000000}"/>
    <cellStyle name="Heading 1 2" xfId="62" xr:uid="{00000000-0005-0000-0000-00003D000000}"/>
    <cellStyle name="Heading 1 3" xfId="63" xr:uid="{00000000-0005-0000-0000-00003E000000}"/>
    <cellStyle name="Heading 2 2" xfId="64" xr:uid="{00000000-0005-0000-0000-00003F000000}"/>
    <cellStyle name="Heading 2 3" xfId="65" xr:uid="{00000000-0005-0000-0000-000040000000}"/>
    <cellStyle name="Heading 3 2" xfId="66" xr:uid="{00000000-0005-0000-0000-000041000000}"/>
    <cellStyle name="Heading 3 3" xfId="67" xr:uid="{00000000-0005-0000-0000-000042000000}"/>
    <cellStyle name="Heading 4 2" xfId="68" xr:uid="{00000000-0005-0000-0000-000043000000}"/>
    <cellStyle name="Heading 4 3" xfId="69" xr:uid="{00000000-0005-0000-0000-000044000000}"/>
    <cellStyle name="Hyperlink" xfId="70" builtinId="8"/>
    <cellStyle name="Input 2" xfId="71" xr:uid="{00000000-0005-0000-0000-000046000000}"/>
    <cellStyle name="Input 3" xfId="72" xr:uid="{00000000-0005-0000-0000-000047000000}"/>
    <cellStyle name="Linked Cell 2" xfId="73" xr:uid="{00000000-0005-0000-0000-000048000000}"/>
    <cellStyle name="Linked Cell 3" xfId="74" xr:uid="{00000000-0005-0000-0000-000049000000}"/>
    <cellStyle name="Neutral 2" xfId="75" xr:uid="{00000000-0005-0000-0000-00004A000000}"/>
    <cellStyle name="Neutral 3" xfId="76" xr:uid="{00000000-0005-0000-0000-00004B000000}"/>
    <cellStyle name="Normal" xfId="0" builtinId="0"/>
    <cellStyle name="Normal 2" xfId="77" xr:uid="{00000000-0005-0000-0000-00004D000000}"/>
    <cellStyle name="Normal_10 06 03" xfId="78" xr:uid="{00000000-0005-0000-0000-00004E000000}"/>
    <cellStyle name="Note 2" xfId="79" xr:uid="{00000000-0005-0000-0000-00004F000000}"/>
    <cellStyle name="Note 3" xfId="80" xr:uid="{00000000-0005-0000-0000-000050000000}"/>
    <cellStyle name="Output 2" xfId="81" xr:uid="{00000000-0005-0000-0000-000051000000}"/>
    <cellStyle name="Output 3" xfId="82" xr:uid="{00000000-0005-0000-0000-000052000000}"/>
    <cellStyle name="Title 2" xfId="83" xr:uid="{00000000-0005-0000-0000-000053000000}"/>
    <cellStyle name="Title 3" xfId="84" xr:uid="{00000000-0005-0000-0000-000054000000}"/>
    <cellStyle name="Total 2" xfId="85" xr:uid="{00000000-0005-0000-0000-000055000000}"/>
    <cellStyle name="Total 3" xfId="86" xr:uid="{00000000-0005-0000-0000-000056000000}"/>
    <cellStyle name="Warning Text 2" xfId="87" xr:uid="{00000000-0005-0000-0000-000057000000}"/>
    <cellStyle name="Warning Text 3" xfId="88" xr:uid="{00000000-0005-0000-0000-000058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e Hudson" refreshedDate="46127.677987731484" createdVersion="4" refreshedVersion="8" minRefreshableVersion="3" recordCount="25" xr:uid="{00000000-000A-0000-FFFF-FFFF26000000}">
  <cacheSource type="worksheet">
    <worksheetSource ref="A1:AC1048576" sheet="Run Sheet"/>
  </cacheSource>
  <cacheFields count="29">
    <cacheField name="Bill Code" numFmtId="0">
      <sharedItems containsBlank="1"/>
    </cacheField>
    <cacheField name="Air Date" numFmtId="0">
      <sharedItems containsBlank="1"/>
    </cacheField>
    <cacheField name="End Date" numFmtId="0">
      <sharedItems containsBlank="1"/>
    </cacheField>
    <cacheField name="Day" numFmtId="0">
      <sharedItems containsBlank="1"/>
    </cacheField>
    <cacheField name="Time In" numFmtId="0">
      <sharedItems containsBlank="1"/>
    </cacheField>
    <cacheField name="Time out" numFmtId="0">
      <sharedItems containsBlank="1"/>
    </cacheField>
    <cacheField name="Length" numFmtId="0">
      <sharedItems containsBlank="1"/>
    </cacheField>
    <cacheField name="Media" numFmtId="0">
      <sharedItems containsBlank="1"/>
    </cacheField>
    <cacheField name="Program" numFmtId="0">
      <sharedItems containsBlank="1"/>
    </cacheField>
    <cacheField name="Lang." numFmtId="0">
      <sharedItems containsBlank="1"/>
    </cacheField>
    <cacheField name="Format" numFmtId="0">
      <sharedItems containsNonDate="0" containsString="0" containsBlank="1"/>
    </cacheField>
    <cacheField name="#" numFmtId="0">
      <sharedItems containsString="0" containsBlank="1" containsNumber="1" containsInteger="1" minValue="1" maxValue="1"/>
    </cacheField>
    <cacheField name="Line" numFmtId="0">
      <sharedItems containsBlank="1"/>
    </cacheField>
    <cacheField name="Type" numFmtId="0">
      <sharedItems containsBlank="1"/>
    </cacheField>
    <cacheField name="Estimate" numFmtId="0">
      <sharedItems containsBlank="1"/>
    </cacheField>
    <cacheField name="Gross Rate" numFmtId="0">
      <sharedItems containsBlank="1"/>
    </cacheField>
    <cacheField name="Make Good" numFmtId="0">
      <sharedItems containsNonDate="0" containsString="0" containsBlank="1"/>
    </cacheField>
    <cacheField name="Spot Value" numFmtId="0">
      <sharedItems containsBlank="1"/>
    </cacheField>
    <cacheField name="Month" numFmtId="0">
      <sharedItems containsDate="1" containsBlank="1" containsMixedTypes="1" minDate="2016-04-01T00:00:00" maxDate="2026-02-02T00:00:00" count="52">
        <s v="&lt;month&gt;"/>
        <m/>
        <d v="2026-01-01T00:00:00" u="1"/>
        <d v="2026-02-01T00:00:00" u="1"/>
        <d v="2025-11-01T00:00:00" u="1"/>
        <d v="2025-06-01T00:00:00" u="1"/>
        <d v="2025-07-01T00:00:00" u="1"/>
        <d v="2025-03-01T00:00:00" u="1"/>
        <d v="2025-01-01T00:00:00" u="1"/>
        <d v="2025-02-01T00:00:00" u="1"/>
        <d v="2024-12-01T00:00:00" u="1"/>
        <d v="2024-09-01T00:00:00" u="1"/>
        <d v="2024-08-01T00:00:00" u="1"/>
        <d v="2024-07-01T00:00:00" u="1"/>
        <d v="2024-05-01T00:00:00" u="1"/>
        <d v="2024-06-01T00:00:00" u="1"/>
        <d v="2024-04-01T00:00:00" u="1"/>
        <d v="2024-03-01T00:00:00" u="1"/>
        <d v="2024-02-01T00:00:00" u="1"/>
        <d v="2024-01-01T00:00:00" u="1"/>
        <d v="2023-12-01T00:00:00" u="1"/>
        <d v="2021-09-01T00:00:00" u="1"/>
        <d v="2022-09-01T00:00:00" u="1"/>
        <d v="2022-08-01T00:00:00" u="1"/>
        <d v="2016-07-01T00:00:00" u="1"/>
        <d v="2021-07-01T00:00:00" u="1"/>
        <d v="2022-07-01T00:00:00" u="1"/>
        <d v="2017-06-01T00:00:00" u="1"/>
        <d v="2021-06-01T00:00:00" u="1"/>
        <d v="2022-06-01T00:00:00" u="1"/>
        <d v="2016-05-01T00:00:00" u="1"/>
        <d v="2017-05-01T00:00:00" u="1"/>
        <d v="2021-05-01T00:00:00" u="1"/>
        <d v="2022-05-01T00:00:00" u="1"/>
        <d v="2016-04-01T00:00:00" u="1"/>
        <d v="2023-05-01T00:00:00" u="1"/>
        <d v="2023-04-01T00:00:00" u="1"/>
        <d v="2019-03-01T00:00:00" u="1"/>
        <d v="2023-03-01T00:00:00" u="1"/>
        <d v="2016-12-01T00:00:00" u="1"/>
        <d v="2019-02-01T00:00:00" u="1"/>
        <d v="2020-02-01T00:00:00" u="1"/>
        <d v="2021-02-01T00:00:00" u="1"/>
        <d v="2021-12-01T00:00:00" u="1"/>
        <d v="2022-02-01T00:00:00" u="1"/>
        <d v="2017-01-01T00:00:00" u="1"/>
        <d v="2021-11-01T00:00:00" u="1"/>
        <d v="2022-01-01T00:00:00" u="1"/>
        <d v="2016-10-01T00:00:00" u="1"/>
        <d v="2017-10-01T00:00:00" u="1"/>
        <d v="2016-09-01T00:00:00" u="1"/>
        <d v="2017-09-01T00:00:00" u="1"/>
      </sharedItems>
    </cacheField>
    <cacheField name="Broker Fees" numFmtId="0">
      <sharedItems containsBlank="1"/>
    </cacheField>
    <cacheField name="Priority" numFmtId="1">
      <sharedItems containsBlank="1"/>
    </cacheField>
    <cacheField name="Station Net" numFmtId="0">
      <sharedItems containsBlank="1"/>
    </cacheField>
    <cacheField name="Sales Person" numFmtId="0">
      <sharedItems containsBlank="1"/>
    </cacheField>
    <cacheField name="Revenue Type" numFmtId="0">
      <sharedItems containsBlank="1"/>
    </cacheField>
    <cacheField name="Billing Type" numFmtId="0">
      <sharedItems containsBlank="1"/>
    </cacheField>
    <cacheField name="Agency?" numFmtId="0">
      <sharedItems containsBlank="1"/>
    </cacheField>
    <cacheField name="Affidavit?" numFmtId="0">
      <sharedItems containsBlank="1"/>
    </cacheField>
    <cacheField name="Contract" numFmtId="0">
      <sharedItems containsBlank="1"/>
    </cacheField>
    <cacheField name="Market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"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4" indent="0" outline="1" outlineData="1" multipleFieldFilters="0">
  <location ref="A3:C6" firstHeaderRow="0" firstDataRow="1" firstDataCol="1"/>
  <pivotFields count="2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53">
        <item m="1" x="24"/>
        <item x="1"/>
        <item m="1" x="50"/>
        <item m="1" x="39"/>
        <item m="1" x="45"/>
        <item m="1" x="34"/>
        <item m="1" x="30"/>
        <item m="1" x="48"/>
        <item m="1" x="31"/>
        <item m="1" x="27"/>
        <item m="1" x="51"/>
        <item m="1" x="49"/>
        <item m="1" x="40"/>
        <item m="1" x="37"/>
        <item m="1" x="41"/>
        <item m="1" x="42"/>
        <item m="1" x="32"/>
        <item m="1" x="28"/>
        <item m="1" x="25"/>
        <item m="1" x="21"/>
        <item m="1" x="46"/>
        <item m="1" x="43"/>
        <item m="1" x="47"/>
        <item m="1" x="44"/>
        <item m="1" x="33"/>
        <item m="1" x="29"/>
        <item m="1" x="26"/>
        <item m="1" x="23"/>
        <item m="1" x="22"/>
        <item m="1" x="38"/>
        <item m="1" x="36"/>
        <item m="1" x="35"/>
        <item m="1" x="20"/>
        <item m="1" x="19"/>
        <item m="1" x="18"/>
        <item m="1" x="17"/>
        <item m="1" x="16"/>
        <item m="1" x="14"/>
        <item m="1" x="15"/>
        <item m="1" x="13"/>
        <item m="1" x="12"/>
        <item m="1" x="11"/>
        <item m="1" x="10"/>
        <item m="1" x="8"/>
        <item m="1" x="9"/>
        <item m="1" x="7"/>
        <item m="1" x="5"/>
        <item m="1" x="6"/>
        <item m="1" x="4"/>
        <item m="1" x="2"/>
        <item m="1" x="3"/>
        <item x="0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8"/>
  </rowFields>
  <rowItems count="3">
    <i>
      <x v="1"/>
    </i>
    <i>
      <x v="5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Gross Rate" fld="15" baseField="18" baseItem="0" numFmtId="168"/>
    <dataField name="Sum of Station Net" fld="21" baseField="18" baseItem="6" numFmtId="16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jlee@handlpartners.com" TargetMode="External"/><Relationship Id="rId2" Type="http://schemas.openxmlformats.org/officeDocument/2006/relationships/hyperlink" Target="mailto:jlee@handlpartners.com" TargetMode="External"/><Relationship Id="rId1" Type="http://schemas.openxmlformats.org/officeDocument/2006/relationships/externalLinkPath" Target="file:///B:\Accounting\Billing\2010\98B37420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jlee@handlpartners.com" TargetMode="External"/><Relationship Id="rId4" Type="http://schemas.openxmlformats.org/officeDocument/2006/relationships/hyperlink" Target="mailto:jlee@handlpartners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0">
    <pageSetUpPr fitToPage="1"/>
  </sheetPr>
  <dimension ref="A1:AJ36"/>
  <sheetViews>
    <sheetView tabSelected="1" topLeftCell="B7" workbookViewId="0">
      <selection activeCell="J34" sqref="J34"/>
    </sheetView>
  </sheetViews>
  <sheetFormatPr defaultColWidth="0" defaultRowHeight="15" customHeight="1" x14ac:dyDescent="0.2"/>
  <cols>
    <col min="1" max="1" width="23.28515625" style="28" hidden="1" customWidth="1"/>
    <col min="2" max="2" width="11" style="29" customWidth="1"/>
    <col min="3" max="3" width="10.7109375" style="29" hidden="1" customWidth="1"/>
    <col min="4" max="4" width="10.7109375" style="29" customWidth="1"/>
    <col min="5" max="5" width="10.85546875" style="29" customWidth="1"/>
    <col min="6" max="6" width="10.140625" style="29" bestFit="1" customWidth="1"/>
    <col min="7" max="7" width="7.140625" style="29" bestFit="1" customWidth="1"/>
    <col min="8" max="8" width="25.28515625" style="28" customWidth="1"/>
    <col min="9" max="9" width="11.42578125" style="29" customWidth="1"/>
    <col min="10" max="10" width="5.85546875" style="29" customWidth="1"/>
    <col min="11" max="11" width="6.42578125" style="29" hidden="1" customWidth="1"/>
    <col min="12" max="12" width="10" style="29" customWidth="1"/>
    <col min="13" max="13" width="10" style="29" hidden="1" customWidth="1"/>
    <col min="14" max="15" width="11.5703125" style="29" customWidth="1"/>
    <col min="16" max="16" width="14" style="29" customWidth="1"/>
    <col min="17" max="17" width="11.28515625" style="29" bestFit="1" customWidth="1"/>
    <col min="18" max="18" width="9.85546875" style="28" hidden="1" customWidth="1"/>
    <col min="19" max="19" width="6.7109375" style="28" hidden="1" customWidth="1"/>
    <col min="20" max="20" width="10.5703125" style="28" hidden="1" customWidth="1"/>
    <col min="21" max="21" width="26.5703125" style="28" hidden="1" customWidth="1"/>
    <col min="22" max="22" width="10.140625" style="28" hidden="1" customWidth="1"/>
    <col min="23" max="23" width="11" style="28" hidden="1" customWidth="1"/>
    <col min="24" max="24" width="11.7109375" style="28" hidden="1" customWidth="1"/>
    <col min="25" max="25" width="10.140625" style="28" hidden="1" customWidth="1"/>
    <col min="26" max="26" width="7.140625" style="28" hidden="1" customWidth="1"/>
    <col min="27" max="28" width="8.42578125" style="28" hidden="1" customWidth="1"/>
    <col min="29" max="29" width="6.42578125" style="28" hidden="1" customWidth="1"/>
    <col min="30" max="36" width="0" style="28" hidden="1" customWidth="1"/>
    <col min="37" max="16384" width="149.140625" style="28" hidden="1"/>
  </cols>
  <sheetData>
    <row r="1" spans="2:22" customFormat="1" ht="15" customHeight="1" x14ac:dyDescent="0.25">
      <c r="B1" s="1"/>
      <c r="C1" s="2"/>
      <c r="D1" s="2"/>
      <c r="E1" s="2"/>
      <c r="F1" s="70" t="s">
        <v>31</v>
      </c>
      <c r="G1" s="70"/>
      <c r="H1" s="70"/>
      <c r="I1" s="70"/>
      <c r="J1" s="70"/>
      <c r="K1" s="70"/>
      <c r="L1" s="70"/>
      <c r="M1" s="2"/>
      <c r="N1" s="2"/>
      <c r="O1" s="2"/>
      <c r="P1" s="2"/>
      <c r="Q1" s="2"/>
    </row>
    <row r="2" spans="2:22" customFormat="1" ht="15" customHeight="1" x14ac:dyDescent="0.25">
      <c r="B2" s="3"/>
      <c r="C2" s="2"/>
      <c r="D2" s="2"/>
      <c r="E2" s="2"/>
      <c r="F2" s="2"/>
      <c r="G2" s="2"/>
      <c r="I2" s="2"/>
      <c r="J2" s="2"/>
      <c r="K2" s="2"/>
      <c r="L2" s="2"/>
      <c r="M2" s="2"/>
      <c r="N2" s="2"/>
      <c r="O2" s="2"/>
      <c r="P2" s="2"/>
      <c r="Q2" s="2"/>
    </row>
    <row r="3" spans="2:22" customFormat="1" ht="15" customHeight="1" x14ac:dyDescent="0.25">
      <c r="B3" s="1" t="s">
        <v>0</v>
      </c>
      <c r="C3" s="2"/>
      <c r="D3" s="63" t="s">
        <v>68</v>
      </c>
      <c r="E3" s="63"/>
      <c r="F3" s="63"/>
      <c r="G3" s="63"/>
      <c r="I3" s="3" t="s">
        <v>1</v>
      </c>
      <c r="J3" s="2"/>
      <c r="K3" s="2"/>
      <c r="L3" s="64" t="s">
        <v>75</v>
      </c>
      <c r="M3" s="64"/>
      <c r="N3" s="64"/>
      <c r="O3" s="64"/>
      <c r="P3" s="64"/>
      <c r="Q3" s="64"/>
    </row>
    <row r="4" spans="2:22" customFormat="1" ht="15" customHeight="1" x14ac:dyDescent="0.25">
      <c r="B4" s="1" t="s">
        <v>2</v>
      </c>
      <c r="C4" s="2"/>
      <c r="D4" s="71" t="s">
        <v>112</v>
      </c>
      <c r="E4" s="71"/>
      <c r="F4" s="71"/>
      <c r="G4" s="71"/>
      <c r="I4" s="3" t="s">
        <v>4</v>
      </c>
      <c r="L4" s="64" t="s">
        <v>78</v>
      </c>
      <c r="M4" s="64"/>
      <c r="N4" s="64"/>
      <c r="O4" s="64"/>
      <c r="P4" s="64"/>
      <c r="Q4" s="64"/>
    </row>
    <row r="5" spans="2:22" customFormat="1" ht="15" customHeight="1" x14ac:dyDescent="0.25">
      <c r="B5" s="1" t="s">
        <v>3</v>
      </c>
      <c r="C5" s="2"/>
      <c r="D5" s="4" t="s">
        <v>71</v>
      </c>
      <c r="E5" s="2"/>
      <c r="F5" s="2"/>
      <c r="G5" s="2"/>
      <c r="I5" s="3" t="s">
        <v>5</v>
      </c>
      <c r="J5" s="2"/>
      <c r="K5" s="2"/>
      <c r="L5" s="64" t="s">
        <v>77</v>
      </c>
      <c r="M5" s="64"/>
      <c r="N5" s="64"/>
      <c r="O5" s="64"/>
      <c r="P5" s="64"/>
      <c r="Q5" s="64"/>
    </row>
    <row r="6" spans="2:22" customFormat="1" ht="15" customHeight="1" x14ac:dyDescent="0.25">
      <c r="B6" s="1"/>
      <c r="C6" s="2"/>
      <c r="D6" s="63" t="s">
        <v>72</v>
      </c>
      <c r="E6" s="63"/>
      <c r="F6" s="47" t="s">
        <v>73</v>
      </c>
      <c r="G6" s="47" t="s">
        <v>74</v>
      </c>
      <c r="I6" s="3" t="s">
        <v>7</v>
      </c>
      <c r="J6" s="2"/>
      <c r="K6" s="2"/>
      <c r="L6" s="64" t="s">
        <v>79</v>
      </c>
      <c r="M6" s="64"/>
      <c r="N6" s="64"/>
      <c r="O6" s="64"/>
      <c r="P6" s="64"/>
      <c r="Q6" s="64"/>
    </row>
    <row r="7" spans="2:22" customFormat="1" ht="15" customHeight="1" x14ac:dyDescent="0.25">
      <c r="B7" s="2"/>
      <c r="C7" s="2"/>
      <c r="D7" s="4"/>
      <c r="E7" s="2"/>
      <c r="F7" s="2"/>
      <c r="G7" s="2"/>
    </row>
    <row r="8" spans="2:22" customFormat="1" ht="15" customHeight="1" x14ac:dyDescent="0.25">
      <c r="B8" s="1" t="s">
        <v>6</v>
      </c>
      <c r="C8" s="2"/>
      <c r="D8" s="67" t="s">
        <v>106</v>
      </c>
      <c r="E8" s="67"/>
      <c r="F8" s="67"/>
      <c r="G8" s="67"/>
      <c r="I8" s="3" t="s">
        <v>45</v>
      </c>
      <c r="J8" s="2"/>
      <c r="K8" s="2"/>
      <c r="L8" s="66" t="s">
        <v>76</v>
      </c>
      <c r="M8" s="66"/>
      <c r="N8" s="66"/>
      <c r="O8" s="66"/>
      <c r="P8" s="66"/>
      <c r="Q8" s="66"/>
    </row>
    <row r="9" spans="2:22" customFormat="1" ht="15" customHeight="1" x14ac:dyDescent="0.25">
      <c r="B9" s="1" t="s">
        <v>8</v>
      </c>
      <c r="C9" s="2"/>
      <c r="D9" s="67" t="s">
        <v>107</v>
      </c>
      <c r="E9" s="67"/>
      <c r="F9" s="67"/>
      <c r="G9" s="67"/>
      <c r="I9" s="3" t="s">
        <v>10</v>
      </c>
      <c r="J9" s="2"/>
      <c r="K9" s="2"/>
      <c r="L9" s="4" t="s">
        <v>70</v>
      </c>
      <c r="M9" s="4"/>
      <c r="N9" s="4"/>
      <c r="O9" s="4"/>
      <c r="P9" s="4"/>
      <c r="Q9" s="4"/>
    </row>
    <row r="10" spans="2:22" customFormat="1" ht="15" customHeight="1" x14ac:dyDescent="0.25">
      <c r="B10" s="1" t="s">
        <v>9</v>
      </c>
      <c r="C10" s="2"/>
      <c r="D10" s="68" t="s">
        <v>108</v>
      </c>
      <c r="E10" s="69"/>
      <c r="F10" s="69"/>
      <c r="G10" s="69"/>
      <c r="I10" s="3" t="s">
        <v>47</v>
      </c>
      <c r="L10" s="4">
        <v>0</v>
      </c>
    </row>
    <row r="11" spans="2:22" customFormat="1" ht="15" customHeight="1" x14ac:dyDescent="0.25">
      <c r="B11" s="1" t="s">
        <v>9</v>
      </c>
      <c r="C11" s="2"/>
      <c r="D11" s="68" t="s">
        <v>109</v>
      </c>
      <c r="E11" s="69"/>
      <c r="F11" s="69"/>
      <c r="G11" s="69"/>
      <c r="I11" s="3" t="s">
        <v>48</v>
      </c>
      <c r="J11" s="2"/>
      <c r="K11" s="64" t="s">
        <v>69</v>
      </c>
      <c r="L11" s="64"/>
      <c r="M11" s="64"/>
      <c r="N11" s="64"/>
      <c r="O11" s="64"/>
      <c r="P11" s="64"/>
      <c r="Q11" s="64"/>
    </row>
    <row r="12" spans="2:22" customFormat="1" ht="15" customHeight="1" x14ac:dyDescent="0.25">
      <c r="B12" s="1" t="s">
        <v>9</v>
      </c>
      <c r="C12" s="2"/>
      <c r="D12" s="68" t="s">
        <v>110</v>
      </c>
      <c r="E12" s="69"/>
      <c r="F12" s="69"/>
      <c r="G12" s="69"/>
      <c r="I12" s="3"/>
      <c r="J12" s="2"/>
      <c r="K12" s="4"/>
      <c r="L12" s="4"/>
      <c r="M12" s="4"/>
      <c r="N12" s="4"/>
      <c r="O12" s="4"/>
      <c r="P12" s="4"/>
      <c r="Q12" s="4"/>
    </row>
    <row r="13" spans="2:22" customFormat="1" ht="15" customHeight="1" x14ac:dyDescent="0.25">
      <c r="B13" s="1" t="s">
        <v>9</v>
      </c>
      <c r="C13" s="2"/>
      <c r="D13" s="68" t="s">
        <v>111</v>
      </c>
      <c r="E13" s="69"/>
      <c r="F13" s="69"/>
      <c r="G13" s="69"/>
      <c r="I13" s="3"/>
      <c r="J13" s="2"/>
      <c r="K13" s="4"/>
      <c r="L13" s="4"/>
      <c r="M13" s="4"/>
      <c r="N13" s="4"/>
      <c r="O13" s="4"/>
      <c r="P13" s="4"/>
      <c r="Q13" s="4"/>
    </row>
    <row r="14" spans="2:22" customFormat="1" ht="15" customHeight="1" x14ac:dyDescent="0.25">
      <c r="B14" s="1"/>
      <c r="C14" s="2"/>
      <c r="D14" s="34"/>
      <c r="I14" s="3"/>
      <c r="J14" s="2"/>
      <c r="K14" s="4"/>
      <c r="L14" s="4"/>
      <c r="M14" s="4"/>
      <c r="N14" s="4"/>
      <c r="O14" s="4"/>
      <c r="P14" s="4"/>
      <c r="Q14" s="4"/>
    </row>
    <row r="15" spans="2:22" s="5" customFormat="1" ht="36.75" customHeight="1" x14ac:dyDescent="0.25">
      <c r="B15" s="6" t="s">
        <v>33</v>
      </c>
      <c r="C15" s="6"/>
      <c r="D15" s="5" t="s">
        <v>32</v>
      </c>
      <c r="E15" s="7" t="s">
        <v>13</v>
      </c>
      <c r="F15" s="7" t="s">
        <v>36</v>
      </c>
      <c r="G15" s="7" t="s">
        <v>37</v>
      </c>
      <c r="H15" s="8" t="s">
        <v>34</v>
      </c>
      <c r="I15" s="7" t="s">
        <v>51</v>
      </c>
      <c r="J15" s="5" t="s">
        <v>38</v>
      </c>
      <c r="L15" s="5" t="s">
        <v>35</v>
      </c>
      <c r="N15" s="5" t="s">
        <v>17</v>
      </c>
      <c r="O15" s="9" t="s">
        <v>52</v>
      </c>
      <c r="P15" s="5" t="s">
        <v>53</v>
      </c>
      <c r="R15" s="9"/>
      <c r="S15" s="9"/>
      <c r="T15" s="9"/>
      <c r="U15" s="9"/>
      <c r="V15" s="9"/>
    </row>
    <row r="16" spans="2:22" s="10" customFormat="1" ht="18.75" customHeight="1" x14ac:dyDescent="0.25">
      <c r="B16" s="52">
        <v>1</v>
      </c>
      <c r="C16" s="11"/>
      <c r="D16" s="12" t="s">
        <v>80</v>
      </c>
      <c r="E16" s="12" t="s">
        <v>81</v>
      </c>
      <c r="F16" s="52" t="s">
        <v>82</v>
      </c>
      <c r="G16" s="13" t="s">
        <v>114</v>
      </c>
      <c r="H16" s="10" t="s">
        <v>113</v>
      </c>
      <c r="I16" s="52">
        <v>1</v>
      </c>
      <c r="J16" s="52" t="s">
        <v>84</v>
      </c>
      <c r="L16" s="52" t="e">
        <f t="shared" ref="L16" si="0">F16*I16</f>
        <v>#VALUE!</v>
      </c>
      <c r="N16" s="52" t="s">
        <v>85</v>
      </c>
      <c r="O16" s="37" t="s">
        <v>83</v>
      </c>
      <c r="P16" s="37" t="e">
        <f t="shared" ref="P16" si="1">L16*O16</f>
        <v>#VALUE!</v>
      </c>
      <c r="R16" s="14"/>
      <c r="T16" s="14"/>
      <c r="U16" s="14"/>
      <c r="V16" s="14"/>
    </row>
    <row r="17" spans="2:22" s="10" customFormat="1" ht="18.75" customHeight="1" x14ac:dyDescent="0.25">
      <c r="B17" s="52">
        <v>2</v>
      </c>
      <c r="C17" s="11"/>
      <c r="D17" s="12" t="s">
        <v>80</v>
      </c>
      <c r="E17" s="12" t="s">
        <v>81</v>
      </c>
      <c r="F17" s="52" t="s">
        <v>82</v>
      </c>
      <c r="G17" s="13" t="s">
        <v>114</v>
      </c>
      <c r="H17" s="10" t="s">
        <v>113</v>
      </c>
      <c r="I17" s="52">
        <v>1</v>
      </c>
      <c r="J17" s="52" t="s">
        <v>84</v>
      </c>
      <c r="L17" s="52" t="e">
        <f t="shared" ref="L17:L19" si="2">F17*I17</f>
        <v>#VALUE!</v>
      </c>
      <c r="N17" s="52" t="s">
        <v>85</v>
      </c>
      <c r="O17" s="37" t="s">
        <v>83</v>
      </c>
      <c r="P17" s="37" t="e">
        <f t="shared" ref="P17:P19" si="3">L17*O17</f>
        <v>#VALUE!</v>
      </c>
      <c r="Q17" s="82"/>
      <c r="R17" s="14"/>
      <c r="T17" s="14"/>
      <c r="U17" s="14"/>
      <c r="V17" s="14"/>
    </row>
    <row r="18" spans="2:22" s="10" customFormat="1" ht="18.75" customHeight="1" x14ac:dyDescent="0.25">
      <c r="B18" s="87">
        <v>3</v>
      </c>
      <c r="C18" s="88"/>
      <c r="D18" s="89" t="s">
        <v>80</v>
      </c>
      <c r="E18" s="89" t="s">
        <v>81</v>
      </c>
      <c r="F18" s="87" t="s">
        <v>82</v>
      </c>
      <c r="G18" s="90" t="s">
        <v>114</v>
      </c>
      <c r="H18" s="82" t="s">
        <v>113</v>
      </c>
      <c r="I18" s="87">
        <v>1</v>
      </c>
      <c r="J18" s="87" t="s">
        <v>84</v>
      </c>
      <c r="L18" s="52" t="e">
        <f t="shared" si="2"/>
        <v>#VALUE!</v>
      </c>
      <c r="N18" s="52" t="s">
        <v>85</v>
      </c>
      <c r="O18" s="37" t="s">
        <v>83</v>
      </c>
      <c r="P18" s="37" t="e">
        <f t="shared" si="3"/>
        <v>#VALUE!</v>
      </c>
      <c r="Q18" s="82"/>
      <c r="R18" s="14"/>
      <c r="T18" s="14"/>
      <c r="U18" s="14"/>
      <c r="V18" s="14"/>
    </row>
    <row r="19" spans="2:22" s="10" customFormat="1" ht="18.75" customHeight="1" thickBot="1" x14ac:dyDescent="0.3">
      <c r="B19" s="87">
        <v>4</v>
      </c>
      <c r="C19" s="88"/>
      <c r="D19" s="89" t="s">
        <v>80</v>
      </c>
      <c r="E19" s="89" t="s">
        <v>81</v>
      </c>
      <c r="F19" s="87" t="s">
        <v>82</v>
      </c>
      <c r="G19" s="90" t="s">
        <v>114</v>
      </c>
      <c r="H19" s="82" t="s">
        <v>113</v>
      </c>
      <c r="I19" s="87">
        <v>1</v>
      </c>
      <c r="J19" s="87" t="s">
        <v>84</v>
      </c>
      <c r="L19" s="52" t="e">
        <f t="shared" si="2"/>
        <v>#VALUE!</v>
      </c>
      <c r="N19" s="52" t="s">
        <v>85</v>
      </c>
      <c r="O19" s="37" t="s">
        <v>83</v>
      </c>
      <c r="P19" s="37" t="e">
        <f t="shared" si="3"/>
        <v>#VALUE!</v>
      </c>
      <c r="Q19" s="82"/>
      <c r="R19" s="14"/>
      <c r="T19" s="14"/>
      <c r="U19" s="14"/>
      <c r="V19" s="14"/>
    </row>
    <row r="20" spans="2:22" s="15" customFormat="1" ht="15" customHeight="1" thickTop="1" x14ac:dyDescent="0.25">
      <c r="B20" s="83"/>
      <c r="C20" s="83"/>
      <c r="D20" s="84"/>
      <c r="E20" s="83"/>
      <c r="F20" s="83"/>
      <c r="G20" s="83"/>
      <c r="H20" s="85"/>
      <c r="I20" s="85" t="s">
        <v>49</v>
      </c>
      <c r="J20" s="86"/>
      <c r="K20" s="31"/>
      <c r="L20" s="38" t="e">
        <f>SUM(L16:L19)</f>
        <v>#VALUE!</v>
      </c>
      <c r="M20" s="16"/>
      <c r="N20" s="16" t="s">
        <v>42</v>
      </c>
      <c r="O20" s="16"/>
      <c r="P20" s="17" t="s">
        <v>104</v>
      </c>
      <c r="Q20" s="83"/>
    </row>
    <row r="21" spans="2:22" s="18" customFormat="1" ht="15" customHeight="1" thickBot="1" x14ac:dyDescent="0.3">
      <c r="B21" s="65" t="s">
        <v>39</v>
      </c>
      <c r="C21" s="65"/>
      <c r="D21" s="65"/>
      <c r="E21" s="65"/>
      <c r="F21" s="65"/>
      <c r="G21" s="65"/>
      <c r="H21" s="20"/>
      <c r="I21" s="20" t="s">
        <v>41</v>
      </c>
      <c r="J21" s="21"/>
      <c r="K21" s="32"/>
      <c r="L21" s="35">
        <v>0.15</v>
      </c>
      <c r="M21" s="22"/>
      <c r="N21" s="22"/>
      <c r="O21" s="23"/>
      <c r="P21" s="24" t="e">
        <f>-1*(L21*P20)</f>
        <v>#VALUE!</v>
      </c>
      <c r="Q21" s="83"/>
    </row>
    <row r="22" spans="2:22" s="18" customFormat="1" ht="15" customHeight="1" thickTop="1" thickBot="1" x14ac:dyDescent="0.3">
      <c r="B22" s="72" t="s">
        <v>115</v>
      </c>
      <c r="C22" s="73"/>
      <c r="D22" s="73"/>
      <c r="E22" s="73"/>
      <c r="F22" s="73"/>
      <c r="G22" s="74"/>
      <c r="H22" s="3"/>
      <c r="I22" s="3" t="s">
        <v>50</v>
      </c>
      <c r="J22" s="19"/>
      <c r="K22" s="33"/>
      <c r="L22" s="25"/>
      <c r="M22" s="26"/>
      <c r="N22" s="26"/>
      <c r="O22" s="26"/>
      <c r="P22" s="27" t="s">
        <v>105</v>
      </c>
      <c r="Q22" s="83"/>
    </row>
    <row r="23" spans="2:22" s="18" customFormat="1" ht="15" customHeight="1" thickTop="1" x14ac:dyDescent="0.25">
      <c r="B23" s="75"/>
      <c r="C23" s="76"/>
      <c r="D23" s="76"/>
      <c r="E23" s="76"/>
      <c r="F23" s="76"/>
      <c r="G23" s="77"/>
      <c r="I23" s="19"/>
      <c r="J23" s="19"/>
      <c r="K23" s="19"/>
      <c r="L23" s="19"/>
      <c r="M23" s="19"/>
      <c r="N23" s="19"/>
      <c r="O23" s="19"/>
      <c r="P23" s="19"/>
      <c r="Q23" s="83"/>
    </row>
    <row r="24" spans="2:22" s="18" customFormat="1" ht="15" customHeight="1" x14ac:dyDescent="0.25">
      <c r="B24" s="75"/>
      <c r="C24" s="76"/>
      <c r="D24" s="76"/>
      <c r="E24" s="76"/>
      <c r="F24" s="76"/>
      <c r="G24" s="77"/>
      <c r="I24" s="3" t="s">
        <v>44</v>
      </c>
      <c r="J24" s="19"/>
      <c r="K24" s="19"/>
      <c r="L24" s="36"/>
      <c r="M24" s="36"/>
      <c r="N24" s="36"/>
      <c r="O24" s="36"/>
      <c r="P24" s="36"/>
      <c r="Q24" s="83"/>
    </row>
    <row r="25" spans="2:22" s="18" customFormat="1" ht="15" customHeight="1" x14ac:dyDescent="0.25">
      <c r="B25" s="75"/>
      <c r="C25" s="76"/>
      <c r="D25" s="76"/>
      <c r="E25" s="76"/>
      <c r="F25" s="76"/>
      <c r="G25" s="77"/>
      <c r="I25" s="3"/>
      <c r="J25" s="19"/>
      <c r="K25" s="19"/>
      <c r="L25" s="19"/>
      <c r="M25" s="19"/>
      <c r="N25" s="19"/>
      <c r="O25" s="19"/>
      <c r="P25" s="19"/>
      <c r="Q25" s="83"/>
    </row>
    <row r="26" spans="2:22" s="18" customFormat="1" ht="15" customHeight="1" x14ac:dyDescent="0.25">
      <c r="B26" s="75"/>
      <c r="C26" s="76"/>
      <c r="D26" s="76"/>
      <c r="E26" s="76"/>
      <c r="F26" s="76"/>
      <c r="G26" s="77"/>
      <c r="I26" s="3" t="s">
        <v>43</v>
      </c>
      <c r="J26" s="19"/>
      <c r="K26" s="19"/>
      <c r="L26" s="36"/>
      <c r="M26" s="36"/>
      <c r="N26" s="36"/>
      <c r="O26" s="36"/>
      <c r="P26" s="36"/>
      <c r="Q26" s="83"/>
    </row>
    <row r="27" spans="2:22" s="18" customFormat="1" ht="15" customHeight="1" x14ac:dyDescent="0.25">
      <c r="B27" s="78"/>
      <c r="C27" s="79"/>
      <c r="D27" s="79"/>
      <c r="E27" s="79"/>
      <c r="F27" s="79"/>
      <c r="G27" s="80"/>
      <c r="I27" s="30"/>
      <c r="J27" s="30"/>
      <c r="K27" s="30"/>
      <c r="L27" s="30"/>
      <c r="M27" s="30"/>
      <c r="N27" s="30"/>
      <c r="O27" s="30"/>
      <c r="P27" s="30"/>
      <c r="Q27" s="83"/>
    </row>
    <row r="28" spans="2:22" s="18" customFormat="1" ht="15" customHeight="1" x14ac:dyDescent="0.25">
      <c r="I28" s="30"/>
      <c r="J28" s="30"/>
      <c r="K28" s="30"/>
      <c r="L28" s="30"/>
      <c r="M28" s="30"/>
      <c r="N28" s="30"/>
      <c r="O28" s="30"/>
      <c r="P28" s="30"/>
      <c r="Q28" s="83"/>
    </row>
    <row r="29" spans="2:22" s="18" customFormat="1" ht="15" customHeight="1" x14ac:dyDescent="0.25">
      <c r="B29" s="81" t="s">
        <v>54</v>
      </c>
      <c r="C29" s="81"/>
      <c r="D29" s="81"/>
      <c r="E29" s="40"/>
      <c r="F29" s="40"/>
      <c r="G29" s="40"/>
      <c r="I29" s="30"/>
      <c r="J29" s="30"/>
      <c r="K29" s="30"/>
      <c r="L29" s="30"/>
      <c r="M29" s="30"/>
      <c r="N29" s="30"/>
      <c r="O29" s="30"/>
      <c r="P29" s="30"/>
      <c r="Q29" s="83"/>
    </row>
    <row r="30" spans="2:22" s="18" customFormat="1" ht="15" customHeight="1" x14ac:dyDescent="0.25">
      <c r="B30" s="1"/>
      <c r="C30" s="1"/>
      <c r="D30" s="1"/>
      <c r="E30" s="40"/>
      <c r="F30" s="40"/>
      <c r="G30" s="40"/>
      <c r="I30" s="30"/>
      <c r="J30" s="30"/>
      <c r="K30" s="30"/>
      <c r="L30" s="30"/>
      <c r="M30" s="30"/>
      <c r="N30" s="30"/>
      <c r="O30" s="30"/>
      <c r="P30" s="30"/>
      <c r="Q30" s="83"/>
    </row>
    <row r="31" spans="2:22" s="18" customFormat="1" ht="15" customHeight="1" x14ac:dyDescent="0.25">
      <c r="B31" s="1" t="s">
        <v>56</v>
      </c>
      <c r="C31" s="1"/>
      <c r="D31" s="1" t="s">
        <v>57</v>
      </c>
      <c r="E31" s="1" t="s">
        <v>58</v>
      </c>
      <c r="F31" s="1"/>
      <c r="G31" s="1"/>
      <c r="I31" s="30"/>
      <c r="J31" s="30"/>
      <c r="K31" s="30"/>
      <c r="L31" s="30"/>
      <c r="M31" s="30"/>
      <c r="N31" s="30"/>
      <c r="O31" s="30"/>
      <c r="P31" s="30"/>
      <c r="Q31" s="19"/>
    </row>
    <row r="32" spans="2:22" s="18" customFormat="1" ht="15.75" thickBot="1" x14ac:dyDescent="0.3">
      <c r="B32" s="41" t="s">
        <v>67</v>
      </c>
      <c r="C32" s="41"/>
      <c r="D32" s="42">
        <v>700</v>
      </c>
      <c r="E32" s="44">
        <f>D32*0.85</f>
        <v>595</v>
      </c>
      <c r="I32" s="30"/>
      <c r="J32" s="30"/>
      <c r="K32" s="30"/>
      <c r="L32" s="30"/>
      <c r="M32" s="30"/>
      <c r="N32" s="30"/>
      <c r="O32" s="30"/>
      <c r="P32" s="30"/>
      <c r="Q32" s="19"/>
    </row>
    <row r="33" spans="2:17" s="18" customFormat="1" ht="15" customHeight="1" thickTop="1" x14ac:dyDescent="0.25">
      <c r="B33" s="45" t="s">
        <v>55</v>
      </c>
      <c r="C33" s="19"/>
      <c r="D33" s="43">
        <f>SUM(D32:D32)</f>
        <v>700</v>
      </c>
      <c r="E33" s="46">
        <f>SUM(E32:E32)</f>
        <v>595</v>
      </c>
      <c r="F33" s="19"/>
      <c r="G33" s="19"/>
      <c r="I33" s="19"/>
      <c r="J33" s="19"/>
      <c r="K33" s="19"/>
      <c r="L33" s="19"/>
      <c r="M33" s="19"/>
      <c r="N33" s="19"/>
      <c r="O33" s="19"/>
      <c r="P33" s="19"/>
      <c r="Q33" s="19"/>
    </row>
    <row r="34" spans="2:17" s="18" customFormat="1" ht="15" customHeight="1" x14ac:dyDescent="0.25">
      <c r="B34" s="19"/>
      <c r="C34" s="19"/>
      <c r="D34" s="19"/>
      <c r="E34" s="19"/>
      <c r="F34" s="19"/>
      <c r="G34" s="19"/>
      <c r="I34" s="19"/>
      <c r="J34" s="19"/>
      <c r="K34" s="19"/>
      <c r="L34" s="19"/>
      <c r="M34" s="19"/>
      <c r="N34" s="19"/>
      <c r="O34" s="19"/>
      <c r="P34" s="19"/>
      <c r="Q34" s="19"/>
    </row>
    <row r="35" spans="2:17" s="18" customFormat="1" ht="15" customHeight="1" x14ac:dyDescent="0.25">
      <c r="B35" s="19"/>
      <c r="C35" s="19"/>
      <c r="D35" s="19"/>
      <c r="E35" s="19"/>
      <c r="F35" s="19"/>
      <c r="G35" s="19"/>
      <c r="I35" s="19"/>
      <c r="J35" s="19"/>
      <c r="K35" s="19"/>
      <c r="L35" s="19"/>
      <c r="M35" s="19"/>
      <c r="N35" s="19"/>
      <c r="O35" s="19"/>
      <c r="P35" s="19"/>
      <c r="Q35" s="19"/>
    </row>
    <row r="36" spans="2:17" s="18" customFormat="1" ht="15" customHeight="1" x14ac:dyDescent="0.25">
      <c r="B36" s="19"/>
      <c r="C36" s="19"/>
      <c r="D36" s="19"/>
      <c r="E36" s="19"/>
      <c r="F36" s="19"/>
      <c r="G36" s="19"/>
      <c r="I36" s="19"/>
      <c r="J36" s="19"/>
      <c r="K36" s="19"/>
      <c r="L36" s="19"/>
      <c r="M36" s="19"/>
      <c r="N36" s="19"/>
      <c r="O36" s="19"/>
      <c r="P36" s="19"/>
      <c r="Q36" s="19"/>
    </row>
  </sheetData>
  <dataConsolidate function="count">
    <dataRefs count="1">
      <dataRef ref="H13:H94" sheet="AdAsia-C" r:id="rId1"/>
    </dataRefs>
  </dataConsolidate>
  <mergeCells count="19">
    <mergeCell ref="B22:G27"/>
    <mergeCell ref="B29:D29"/>
    <mergeCell ref="F1:L1"/>
    <mergeCell ref="D3:G3"/>
    <mergeCell ref="L3:Q3"/>
    <mergeCell ref="D4:G4"/>
    <mergeCell ref="L4:Q4"/>
    <mergeCell ref="D6:E6"/>
    <mergeCell ref="L5:Q5"/>
    <mergeCell ref="B21:G21"/>
    <mergeCell ref="K11:Q11"/>
    <mergeCell ref="L8:Q8"/>
    <mergeCell ref="D8:G8"/>
    <mergeCell ref="L6:Q6"/>
    <mergeCell ref="D9:G9"/>
    <mergeCell ref="D10:G10"/>
    <mergeCell ref="D11:G11"/>
    <mergeCell ref="D12:G12"/>
    <mergeCell ref="D13:G13"/>
  </mergeCells>
  <phoneticPr fontId="0" type="noConversion"/>
  <hyperlinks>
    <hyperlink ref="D10" r:id="rId2" display="jlee@handlpartners.com" xr:uid="{00000000-0004-0000-0000-000000000000}"/>
    <hyperlink ref="D11" r:id="rId3" display="jlee@handlpartners.com" xr:uid="{0967C2E9-0530-44C1-A29D-158E6E361459}"/>
    <hyperlink ref="D12" r:id="rId4" display="jlee@handlpartners.com" xr:uid="{B2BE908C-BC30-4BC2-81A0-D29863F6AFE1}"/>
    <hyperlink ref="D13" r:id="rId5" display="jlee@handlpartners.com" xr:uid="{AFA16CB7-E940-4C3C-9466-988BEBF5F57B}"/>
  </hyperlinks>
  <pageMargins left="0.7" right="0.7" top="0.75" bottom="0.75" header="0.3" footer="0.3"/>
  <pageSetup scale="82" fitToHeight="100" orientation="landscape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5"/>
  <sheetViews>
    <sheetView workbookViewId="0">
      <pane ySplit="1" topLeftCell="A2" activePane="bottomLeft" state="frozen"/>
      <selection activeCell="M1" sqref="M1"/>
      <selection pane="bottomLeft" activeCell="B2" sqref="B2"/>
    </sheetView>
  </sheetViews>
  <sheetFormatPr defaultRowHeight="15" x14ac:dyDescent="0.25"/>
  <cols>
    <col min="1" max="1" width="41.85546875" customWidth="1"/>
    <col min="2" max="2" width="8.7109375" bestFit="1" customWidth="1"/>
    <col min="3" max="3" width="8.85546875" bestFit="1" customWidth="1"/>
    <col min="4" max="4" width="10.42578125" customWidth="1"/>
    <col min="5" max="6" width="9.140625" bestFit="1" customWidth="1"/>
    <col min="7" max="7" width="7.140625" bestFit="1" customWidth="1"/>
    <col min="8" max="8" width="42.140625" customWidth="1"/>
    <col min="9" max="9" width="27.7109375" customWidth="1"/>
    <col min="10" max="10" width="5.5703125" bestFit="1" customWidth="1"/>
    <col min="11" max="11" width="7.28515625" bestFit="1" customWidth="1"/>
    <col min="12" max="12" width="5" bestFit="1" customWidth="1"/>
    <col min="13" max="13" width="11.140625" bestFit="1" customWidth="1"/>
    <col min="14" max="14" width="5.28515625" bestFit="1" customWidth="1"/>
    <col min="15" max="15" width="13.28515625" bestFit="1" customWidth="1"/>
    <col min="16" max="16" width="12.5703125" customWidth="1"/>
    <col min="17" max="17" width="11.28515625" bestFit="1" customWidth="1"/>
    <col min="18" max="18" width="11" bestFit="1" customWidth="1"/>
    <col min="19" max="19" width="13.7109375" style="49" bestFit="1" customWidth="1"/>
    <col min="20" max="20" width="11.85546875" bestFit="1" customWidth="1"/>
    <col min="21" max="21" width="30" style="54" bestFit="1" customWidth="1"/>
    <col min="22" max="22" width="11.5703125" bestFit="1" customWidth="1"/>
    <col min="23" max="23" width="14.42578125" bestFit="1" customWidth="1"/>
    <col min="24" max="24" width="13.7109375" bestFit="1" customWidth="1"/>
    <col min="25" max="25" width="11.28515625" bestFit="1" customWidth="1"/>
    <col min="26" max="26" width="11.85546875" bestFit="1" customWidth="1"/>
    <col min="27" max="27" width="9.7109375" bestFit="1" customWidth="1"/>
    <col min="28" max="28" width="9.5703125" bestFit="1" customWidth="1"/>
    <col min="29" max="29" width="7.42578125" bestFit="1" customWidth="1"/>
  </cols>
  <sheetData>
    <row r="1" spans="1:29" s="5" customFormat="1" ht="20.25" customHeight="1" x14ac:dyDescent="0.25">
      <c r="A1" s="5" t="s">
        <v>11</v>
      </c>
      <c r="B1" s="6" t="s">
        <v>12</v>
      </c>
      <c r="C1" s="6" t="s">
        <v>13</v>
      </c>
      <c r="D1" s="5" t="s">
        <v>14</v>
      </c>
      <c r="E1" s="7" t="s">
        <v>15</v>
      </c>
      <c r="F1" s="7" t="s">
        <v>16</v>
      </c>
      <c r="G1" s="7" t="s">
        <v>17</v>
      </c>
      <c r="H1" s="8" t="s">
        <v>18</v>
      </c>
      <c r="I1" s="7" t="s">
        <v>46</v>
      </c>
      <c r="J1" s="5" t="s">
        <v>19</v>
      </c>
      <c r="K1" s="5" t="s">
        <v>20</v>
      </c>
      <c r="L1" s="5" t="s">
        <v>21</v>
      </c>
      <c r="M1" s="5" t="s">
        <v>59</v>
      </c>
      <c r="N1" s="5" t="s">
        <v>22</v>
      </c>
      <c r="O1" s="5" t="s">
        <v>4</v>
      </c>
      <c r="P1" s="9" t="s">
        <v>40</v>
      </c>
      <c r="Q1" s="5" t="s">
        <v>23</v>
      </c>
      <c r="R1" s="9" t="s">
        <v>24</v>
      </c>
      <c r="S1" s="48" t="s">
        <v>56</v>
      </c>
      <c r="T1" s="9" t="s">
        <v>25</v>
      </c>
      <c r="U1" s="53" t="s">
        <v>65</v>
      </c>
      <c r="V1" s="9" t="s">
        <v>26</v>
      </c>
      <c r="W1" s="5" t="s">
        <v>27</v>
      </c>
      <c r="X1" s="5" t="s">
        <v>28</v>
      </c>
      <c r="Y1" s="5" t="s">
        <v>5</v>
      </c>
      <c r="Z1" s="5" t="s">
        <v>29</v>
      </c>
      <c r="AA1" s="5" t="s">
        <v>30</v>
      </c>
      <c r="AB1" s="53" t="s">
        <v>66</v>
      </c>
      <c r="AC1" s="5" t="s">
        <v>7</v>
      </c>
    </row>
    <row r="2" spans="1:29" s="10" customFormat="1" ht="15" customHeight="1" x14ac:dyDescent="0.25">
      <c r="A2" t="s">
        <v>101</v>
      </c>
      <c r="B2" s="55" t="s">
        <v>86</v>
      </c>
      <c r="C2" s="39" t="str">
        <f t="shared" ref="C2" si="0">B2</f>
        <v>&lt;air_date&gt;</v>
      </c>
      <c r="D2" s="56" t="s">
        <v>103</v>
      </c>
      <c r="E2" s="57" t="s">
        <v>87</v>
      </c>
      <c r="F2" s="57" t="s">
        <v>88</v>
      </c>
      <c r="G2" s="57" t="s">
        <v>85</v>
      </c>
      <c r="H2" t="s">
        <v>89</v>
      </c>
      <c r="I2" s="58" t="s">
        <v>90</v>
      </c>
      <c r="J2" t="s">
        <v>91</v>
      </c>
      <c r="L2">
        <v>1</v>
      </c>
      <c r="M2" t="s">
        <v>92</v>
      </c>
      <c r="N2" t="s">
        <v>84</v>
      </c>
      <c r="O2" t="s">
        <v>78</v>
      </c>
      <c r="P2" s="59" t="s">
        <v>93</v>
      </c>
      <c r="R2" s="59" t="s">
        <v>102</v>
      </c>
      <c r="S2" s="60" t="s">
        <v>100</v>
      </c>
      <c r="T2" s="59" t="s">
        <v>94</v>
      </c>
      <c r="U2" s="61" t="s">
        <v>95</v>
      </c>
      <c r="V2" s="59" t="s">
        <v>96</v>
      </c>
      <c r="W2" t="s">
        <v>69</v>
      </c>
      <c r="X2" t="s">
        <v>97</v>
      </c>
      <c r="Y2" t="s">
        <v>77</v>
      </c>
      <c r="Z2" t="s">
        <v>98</v>
      </c>
      <c r="AA2" t="s">
        <v>99</v>
      </c>
      <c r="AB2" s="61" t="s">
        <v>70</v>
      </c>
      <c r="AC2" t="s">
        <v>79</v>
      </c>
    </row>
    <row r="3" spans="1:29" s="10" customFormat="1" ht="15" customHeight="1" x14ac:dyDescent="0.25">
      <c r="A3" t="s">
        <v>101</v>
      </c>
      <c r="B3" s="55" t="s">
        <v>86</v>
      </c>
      <c r="C3" s="39" t="str">
        <f t="shared" ref="C3:C13" si="1">B3</f>
        <v>&lt;air_date&gt;</v>
      </c>
      <c r="D3" s="56" t="s">
        <v>103</v>
      </c>
      <c r="E3" s="57" t="s">
        <v>87</v>
      </c>
      <c r="F3" s="57" t="s">
        <v>88</v>
      </c>
      <c r="G3" s="57" t="s">
        <v>85</v>
      </c>
      <c r="H3" t="s">
        <v>89</v>
      </c>
      <c r="I3" s="58" t="s">
        <v>90</v>
      </c>
      <c r="J3" t="s">
        <v>91</v>
      </c>
      <c r="L3">
        <v>1</v>
      </c>
      <c r="M3" t="s">
        <v>92</v>
      </c>
      <c r="N3" t="s">
        <v>84</v>
      </c>
      <c r="O3" t="s">
        <v>78</v>
      </c>
      <c r="P3" s="59" t="s">
        <v>93</v>
      </c>
      <c r="R3" s="59" t="s">
        <v>102</v>
      </c>
      <c r="S3" s="60" t="s">
        <v>100</v>
      </c>
      <c r="T3" s="59" t="s">
        <v>94</v>
      </c>
      <c r="U3" s="61" t="s">
        <v>95</v>
      </c>
      <c r="V3" s="59" t="s">
        <v>96</v>
      </c>
      <c r="W3" t="s">
        <v>69</v>
      </c>
      <c r="X3" t="s">
        <v>97</v>
      </c>
      <c r="Y3" t="s">
        <v>77</v>
      </c>
      <c r="Z3" t="s">
        <v>98</v>
      </c>
      <c r="AA3" t="s">
        <v>99</v>
      </c>
      <c r="AB3" s="61" t="s">
        <v>70</v>
      </c>
      <c r="AC3" t="s">
        <v>79</v>
      </c>
    </row>
    <row r="4" spans="1:29" s="10" customFormat="1" ht="15" customHeight="1" x14ac:dyDescent="0.25">
      <c r="A4" t="s">
        <v>101</v>
      </c>
      <c r="B4" s="55" t="s">
        <v>86</v>
      </c>
      <c r="C4" s="39" t="str">
        <f t="shared" si="1"/>
        <v>&lt;air_date&gt;</v>
      </c>
      <c r="D4" s="56" t="s">
        <v>103</v>
      </c>
      <c r="E4" s="57" t="s">
        <v>87</v>
      </c>
      <c r="F4" s="57" t="s">
        <v>88</v>
      </c>
      <c r="G4" s="57" t="s">
        <v>85</v>
      </c>
      <c r="H4" t="s">
        <v>89</v>
      </c>
      <c r="I4" s="58" t="s">
        <v>90</v>
      </c>
      <c r="J4" t="s">
        <v>91</v>
      </c>
      <c r="L4">
        <v>1</v>
      </c>
      <c r="M4" t="s">
        <v>92</v>
      </c>
      <c r="N4" t="s">
        <v>84</v>
      </c>
      <c r="O4" t="s">
        <v>78</v>
      </c>
      <c r="P4" s="59" t="s">
        <v>93</v>
      </c>
      <c r="R4" s="59" t="s">
        <v>102</v>
      </c>
      <c r="S4" s="60" t="s">
        <v>100</v>
      </c>
      <c r="T4" s="59" t="s">
        <v>94</v>
      </c>
      <c r="U4" s="61" t="s">
        <v>95</v>
      </c>
      <c r="V4" s="59" t="s">
        <v>96</v>
      </c>
      <c r="W4" t="s">
        <v>69</v>
      </c>
      <c r="X4" t="s">
        <v>97</v>
      </c>
      <c r="Y4" t="s">
        <v>77</v>
      </c>
      <c r="Z4" t="s">
        <v>98</v>
      </c>
      <c r="AA4" t="s">
        <v>99</v>
      </c>
      <c r="AB4" s="61" t="s">
        <v>70</v>
      </c>
      <c r="AC4" t="s">
        <v>79</v>
      </c>
    </row>
    <row r="5" spans="1:29" s="10" customFormat="1" ht="15" customHeight="1" x14ac:dyDescent="0.25">
      <c r="A5" t="s">
        <v>101</v>
      </c>
      <c r="B5" s="55" t="s">
        <v>86</v>
      </c>
      <c r="C5" s="39" t="str">
        <f t="shared" si="1"/>
        <v>&lt;air_date&gt;</v>
      </c>
      <c r="D5" s="56" t="s">
        <v>103</v>
      </c>
      <c r="E5" s="57" t="s">
        <v>87</v>
      </c>
      <c r="F5" s="57" t="s">
        <v>88</v>
      </c>
      <c r="G5" s="57" t="s">
        <v>85</v>
      </c>
      <c r="H5" t="s">
        <v>89</v>
      </c>
      <c r="I5" s="58" t="s">
        <v>90</v>
      </c>
      <c r="J5" t="s">
        <v>91</v>
      </c>
      <c r="L5">
        <v>1</v>
      </c>
      <c r="M5" t="s">
        <v>92</v>
      </c>
      <c r="N5" t="s">
        <v>84</v>
      </c>
      <c r="O5" t="s">
        <v>78</v>
      </c>
      <c r="P5" s="59" t="s">
        <v>93</v>
      </c>
      <c r="R5" s="59" t="s">
        <v>102</v>
      </c>
      <c r="S5" s="60" t="s">
        <v>100</v>
      </c>
      <c r="T5" s="59" t="s">
        <v>94</v>
      </c>
      <c r="U5" s="61" t="s">
        <v>95</v>
      </c>
      <c r="V5" s="59" t="s">
        <v>96</v>
      </c>
      <c r="W5" t="s">
        <v>69</v>
      </c>
      <c r="X5" t="s">
        <v>97</v>
      </c>
      <c r="Y5" t="s">
        <v>77</v>
      </c>
      <c r="Z5" t="s">
        <v>98</v>
      </c>
      <c r="AA5" t="s">
        <v>99</v>
      </c>
      <c r="AB5" s="61" t="s">
        <v>70</v>
      </c>
      <c r="AC5" t="s">
        <v>79</v>
      </c>
    </row>
    <row r="6" spans="1:29" s="10" customFormat="1" ht="15" customHeight="1" x14ac:dyDescent="0.25">
      <c r="A6" t="s">
        <v>101</v>
      </c>
      <c r="B6" s="55" t="s">
        <v>86</v>
      </c>
      <c r="C6" s="39" t="str">
        <f t="shared" si="1"/>
        <v>&lt;air_date&gt;</v>
      </c>
      <c r="D6" s="56" t="s">
        <v>103</v>
      </c>
      <c r="E6" s="57" t="s">
        <v>87</v>
      </c>
      <c r="F6" s="57" t="s">
        <v>88</v>
      </c>
      <c r="G6" s="57" t="s">
        <v>85</v>
      </c>
      <c r="H6" t="s">
        <v>89</v>
      </c>
      <c r="I6" s="58" t="s">
        <v>90</v>
      </c>
      <c r="J6" t="s">
        <v>91</v>
      </c>
      <c r="L6">
        <v>1</v>
      </c>
      <c r="M6" t="s">
        <v>92</v>
      </c>
      <c r="N6" t="s">
        <v>84</v>
      </c>
      <c r="O6" t="s">
        <v>78</v>
      </c>
      <c r="P6" s="59" t="s">
        <v>93</v>
      </c>
      <c r="R6" s="59" t="s">
        <v>102</v>
      </c>
      <c r="S6" s="60" t="s">
        <v>100</v>
      </c>
      <c r="T6" s="59" t="s">
        <v>94</v>
      </c>
      <c r="U6" s="61" t="s">
        <v>95</v>
      </c>
      <c r="V6" s="59" t="s">
        <v>96</v>
      </c>
      <c r="W6" t="s">
        <v>69</v>
      </c>
      <c r="X6" t="s">
        <v>97</v>
      </c>
      <c r="Y6" t="s">
        <v>77</v>
      </c>
      <c r="Z6" t="s">
        <v>98</v>
      </c>
      <c r="AA6" t="s">
        <v>99</v>
      </c>
      <c r="AB6" s="61" t="s">
        <v>70</v>
      </c>
      <c r="AC6" t="s">
        <v>79</v>
      </c>
    </row>
    <row r="7" spans="1:29" s="10" customFormat="1" ht="15" customHeight="1" x14ac:dyDescent="0.25">
      <c r="A7" t="s">
        <v>101</v>
      </c>
      <c r="B7" s="55" t="s">
        <v>86</v>
      </c>
      <c r="C7" s="39" t="str">
        <f t="shared" si="1"/>
        <v>&lt;air_date&gt;</v>
      </c>
      <c r="D7" s="56" t="s">
        <v>103</v>
      </c>
      <c r="E7" s="57" t="s">
        <v>87</v>
      </c>
      <c r="F7" s="57" t="s">
        <v>88</v>
      </c>
      <c r="G7" s="57" t="s">
        <v>85</v>
      </c>
      <c r="H7" t="s">
        <v>89</v>
      </c>
      <c r="I7" s="58" t="s">
        <v>90</v>
      </c>
      <c r="J7" t="s">
        <v>91</v>
      </c>
      <c r="L7">
        <v>1</v>
      </c>
      <c r="M7" t="s">
        <v>92</v>
      </c>
      <c r="N7" t="s">
        <v>84</v>
      </c>
      <c r="O7" t="s">
        <v>78</v>
      </c>
      <c r="P7" s="59" t="s">
        <v>93</v>
      </c>
      <c r="R7" s="59" t="s">
        <v>102</v>
      </c>
      <c r="S7" s="60" t="s">
        <v>100</v>
      </c>
      <c r="T7" s="59" t="s">
        <v>94</v>
      </c>
      <c r="U7" s="61" t="s">
        <v>95</v>
      </c>
      <c r="V7" s="59" t="s">
        <v>96</v>
      </c>
      <c r="W7" t="s">
        <v>69</v>
      </c>
      <c r="X7" t="s">
        <v>97</v>
      </c>
      <c r="Y7" t="s">
        <v>77</v>
      </c>
      <c r="Z7" t="s">
        <v>98</v>
      </c>
      <c r="AA7" t="s">
        <v>99</v>
      </c>
      <c r="AB7" s="61" t="s">
        <v>70</v>
      </c>
      <c r="AC7" t="s">
        <v>79</v>
      </c>
    </row>
    <row r="8" spans="1:29" s="10" customFormat="1" ht="15" customHeight="1" x14ac:dyDescent="0.25">
      <c r="A8" t="s">
        <v>101</v>
      </c>
      <c r="B8" s="55" t="s">
        <v>86</v>
      </c>
      <c r="C8" s="39" t="str">
        <f t="shared" si="1"/>
        <v>&lt;air_date&gt;</v>
      </c>
      <c r="D8" s="56" t="s">
        <v>103</v>
      </c>
      <c r="E8" s="57" t="s">
        <v>87</v>
      </c>
      <c r="F8" s="57" t="s">
        <v>88</v>
      </c>
      <c r="G8" s="57" t="s">
        <v>85</v>
      </c>
      <c r="H8" t="s">
        <v>89</v>
      </c>
      <c r="I8" s="58" t="s">
        <v>90</v>
      </c>
      <c r="J8" t="s">
        <v>91</v>
      </c>
      <c r="L8">
        <v>1</v>
      </c>
      <c r="M8" t="s">
        <v>92</v>
      </c>
      <c r="N8" t="s">
        <v>84</v>
      </c>
      <c r="O8" t="s">
        <v>78</v>
      </c>
      <c r="P8" s="59" t="s">
        <v>93</v>
      </c>
      <c r="R8" s="59" t="s">
        <v>102</v>
      </c>
      <c r="S8" s="60" t="s">
        <v>100</v>
      </c>
      <c r="T8" s="59" t="s">
        <v>94</v>
      </c>
      <c r="U8" s="61" t="s">
        <v>95</v>
      </c>
      <c r="V8" s="59" t="s">
        <v>96</v>
      </c>
      <c r="W8" t="s">
        <v>69</v>
      </c>
      <c r="X8" t="s">
        <v>97</v>
      </c>
      <c r="Y8" t="s">
        <v>77</v>
      </c>
      <c r="Z8" t="s">
        <v>98</v>
      </c>
      <c r="AA8" t="s">
        <v>99</v>
      </c>
      <c r="AB8" s="61" t="s">
        <v>70</v>
      </c>
      <c r="AC8" t="s">
        <v>79</v>
      </c>
    </row>
    <row r="9" spans="1:29" s="10" customFormat="1" ht="15" customHeight="1" x14ac:dyDescent="0.25">
      <c r="A9" t="s">
        <v>101</v>
      </c>
      <c r="B9" s="55" t="s">
        <v>86</v>
      </c>
      <c r="C9" s="39" t="str">
        <f t="shared" si="1"/>
        <v>&lt;air_date&gt;</v>
      </c>
      <c r="D9" s="56" t="s">
        <v>103</v>
      </c>
      <c r="E9" s="57" t="s">
        <v>87</v>
      </c>
      <c r="F9" s="57" t="s">
        <v>88</v>
      </c>
      <c r="G9" s="57" t="s">
        <v>85</v>
      </c>
      <c r="H9" t="s">
        <v>89</v>
      </c>
      <c r="I9" s="58" t="s">
        <v>90</v>
      </c>
      <c r="J9" t="s">
        <v>91</v>
      </c>
      <c r="L9">
        <v>1</v>
      </c>
      <c r="M9" t="s">
        <v>92</v>
      </c>
      <c r="N9" t="s">
        <v>84</v>
      </c>
      <c r="O9" t="s">
        <v>78</v>
      </c>
      <c r="P9" s="59" t="s">
        <v>93</v>
      </c>
      <c r="R9" s="59" t="s">
        <v>102</v>
      </c>
      <c r="S9" s="60" t="s">
        <v>100</v>
      </c>
      <c r="T9" s="59" t="s">
        <v>94</v>
      </c>
      <c r="U9" s="61" t="s">
        <v>95</v>
      </c>
      <c r="V9" s="59" t="s">
        <v>96</v>
      </c>
      <c r="W9" t="s">
        <v>69</v>
      </c>
      <c r="X9" t="s">
        <v>97</v>
      </c>
      <c r="Y9" t="s">
        <v>77</v>
      </c>
      <c r="Z9" t="s">
        <v>98</v>
      </c>
      <c r="AA9" t="s">
        <v>99</v>
      </c>
      <c r="AB9" s="61" t="s">
        <v>70</v>
      </c>
      <c r="AC9" t="s">
        <v>79</v>
      </c>
    </row>
    <row r="10" spans="1:29" s="10" customFormat="1" ht="15" customHeight="1" x14ac:dyDescent="0.25">
      <c r="A10" t="s">
        <v>101</v>
      </c>
      <c r="B10" s="55" t="s">
        <v>86</v>
      </c>
      <c r="C10" s="39" t="str">
        <f t="shared" si="1"/>
        <v>&lt;air_date&gt;</v>
      </c>
      <c r="D10" s="56" t="s">
        <v>103</v>
      </c>
      <c r="E10" s="57" t="s">
        <v>87</v>
      </c>
      <c r="F10" s="57" t="s">
        <v>88</v>
      </c>
      <c r="G10" s="57" t="s">
        <v>85</v>
      </c>
      <c r="H10" t="s">
        <v>89</v>
      </c>
      <c r="I10" s="58" t="s">
        <v>90</v>
      </c>
      <c r="J10" t="s">
        <v>91</v>
      </c>
      <c r="L10">
        <v>1</v>
      </c>
      <c r="M10" t="s">
        <v>92</v>
      </c>
      <c r="N10" t="s">
        <v>84</v>
      </c>
      <c r="O10" t="s">
        <v>78</v>
      </c>
      <c r="P10" s="59" t="s">
        <v>93</v>
      </c>
      <c r="R10" s="59" t="s">
        <v>102</v>
      </c>
      <c r="S10" s="60" t="s">
        <v>100</v>
      </c>
      <c r="T10" s="59" t="s">
        <v>94</v>
      </c>
      <c r="U10" s="61" t="s">
        <v>95</v>
      </c>
      <c r="V10" s="59" t="s">
        <v>96</v>
      </c>
      <c r="W10" t="s">
        <v>69</v>
      </c>
      <c r="X10" t="s">
        <v>97</v>
      </c>
      <c r="Y10" t="s">
        <v>77</v>
      </c>
      <c r="Z10" t="s">
        <v>98</v>
      </c>
      <c r="AA10" t="s">
        <v>99</v>
      </c>
      <c r="AB10" s="61" t="s">
        <v>70</v>
      </c>
      <c r="AC10" t="s">
        <v>79</v>
      </c>
    </row>
    <row r="11" spans="1:29" s="10" customFormat="1" ht="15" customHeight="1" x14ac:dyDescent="0.25">
      <c r="A11" t="s">
        <v>101</v>
      </c>
      <c r="B11" s="55" t="s">
        <v>86</v>
      </c>
      <c r="C11" s="39" t="str">
        <f t="shared" si="1"/>
        <v>&lt;air_date&gt;</v>
      </c>
      <c r="D11" s="56" t="s">
        <v>103</v>
      </c>
      <c r="E11" s="57" t="s">
        <v>87</v>
      </c>
      <c r="F11" s="57" t="s">
        <v>88</v>
      </c>
      <c r="G11" s="57" t="s">
        <v>85</v>
      </c>
      <c r="H11" t="s">
        <v>89</v>
      </c>
      <c r="I11" s="58" t="s">
        <v>90</v>
      </c>
      <c r="J11" t="s">
        <v>91</v>
      </c>
      <c r="L11">
        <v>1</v>
      </c>
      <c r="M11" t="s">
        <v>92</v>
      </c>
      <c r="N11" t="s">
        <v>84</v>
      </c>
      <c r="O11" t="s">
        <v>78</v>
      </c>
      <c r="P11" s="59" t="s">
        <v>93</v>
      </c>
      <c r="R11" s="59" t="s">
        <v>102</v>
      </c>
      <c r="S11" s="60" t="s">
        <v>100</v>
      </c>
      <c r="T11" s="59" t="s">
        <v>94</v>
      </c>
      <c r="U11" s="61" t="s">
        <v>95</v>
      </c>
      <c r="V11" s="59" t="s">
        <v>96</v>
      </c>
      <c r="W11" t="s">
        <v>69</v>
      </c>
      <c r="X11" t="s">
        <v>97</v>
      </c>
      <c r="Y11" t="s">
        <v>77</v>
      </c>
      <c r="Z11" t="s">
        <v>98</v>
      </c>
      <c r="AA11" t="s">
        <v>99</v>
      </c>
      <c r="AB11" s="61" t="s">
        <v>70</v>
      </c>
      <c r="AC11" t="s">
        <v>79</v>
      </c>
    </row>
    <row r="12" spans="1:29" s="10" customFormat="1" ht="15" customHeight="1" x14ac:dyDescent="0.25">
      <c r="A12" t="s">
        <v>101</v>
      </c>
      <c r="B12" s="55" t="s">
        <v>86</v>
      </c>
      <c r="C12" s="39" t="str">
        <f t="shared" si="1"/>
        <v>&lt;air_date&gt;</v>
      </c>
      <c r="D12" s="56" t="s">
        <v>103</v>
      </c>
      <c r="E12" s="57" t="s">
        <v>87</v>
      </c>
      <c r="F12" s="57" t="s">
        <v>88</v>
      </c>
      <c r="G12" s="57" t="s">
        <v>85</v>
      </c>
      <c r="H12" t="s">
        <v>89</v>
      </c>
      <c r="I12" s="58" t="s">
        <v>90</v>
      </c>
      <c r="J12" t="s">
        <v>91</v>
      </c>
      <c r="L12">
        <v>1</v>
      </c>
      <c r="M12" t="s">
        <v>92</v>
      </c>
      <c r="N12" t="s">
        <v>84</v>
      </c>
      <c r="O12" t="s">
        <v>78</v>
      </c>
      <c r="P12" s="59" t="s">
        <v>93</v>
      </c>
      <c r="R12" s="59" t="s">
        <v>102</v>
      </c>
      <c r="S12" s="60" t="s">
        <v>100</v>
      </c>
      <c r="T12" s="59" t="s">
        <v>94</v>
      </c>
      <c r="U12" s="61" t="s">
        <v>95</v>
      </c>
      <c r="V12" s="59" t="s">
        <v>96</v>
      </c>
      <c r="W12" t="s">
        <v>69</v>
      </c>
      <c r="X12" t="s">
        <v>97</v>
      </c>
      <c r="Y12" t="s">
        <v>77</v>
      </c>
      <c r="Z12" t="s">
        <v>98</v>
      </c>
      <c r="AA12" t="s">
        <v>99</v>
      </c>
      <c r="AB12" s="61" t="s">
        <v>70</v>
      </c>
      <c r="AC12" t="s">
        <v>79</v>
      </c>
    </row>
    <row r="13" spans="1:29" s="10" customFormat="1" ht="15" customHeight="1" x14ac:dyDescent="0.25">
      <c r="A13" t="s">
        <v>101</v>
      </c>
      <c r="B13" s="55" t="s">
        <v>86</v>
      </c>
      <c r="C13" s="39" t="str">
        <f t="shared" si="1"/>
        <v>&lt;air_date&gt;</v>
      </c>
      <c r="D13" s="56" t="s">
        <v>103</v>
      </c>
      <c r="E13" s="57" t="s">
        <v>87</v>
      </c>
      <c r="F13" s="57" t="s">
        <v>88</v>
      </c>
      <c r="G13" s="57" t="s">
        <v>85</v>
      </c>
      <c r="H13" t="s">
        <v>89</v>
      </c>
      <c r="I13" s="58" t="s">
        <v>90</v>
      </c>
      <c r="J13" t="s">
        <v>91</v>
      </c>
      <c r="L13">
        <v>1</v>
      </c>
      <c r="M13" t="s">
        <v>92</v>
      </c>
      <c r="N13" t="s">
        <v>84</v>
      </c>
      <c r="O13" t="s">
        <v>78</v>
      </c>
      <c r="P13" s="59" t="s">
        <v>93</v>
      </c>
      <c r="R13" s="59" t="s">
        <v>102</v>
      </c>
      <c r="S13" s="60" t="s">
        <v>100</v>
      </c>
      <c r="T13" s="59" t="s">
        <v>94</v>
      </c>
      <c r="U13" s="61" t="s">
        <v>95</v>
      </c>
      <c r="V13" s="59" t="s">
        <v>96</v>
      </c>
      <c r="W13" t="s">
        <v>69</v>
      </c>
      <c r="X13" t="s">
        <v>97</v>
      </c>
      <c r="Y13" t="s">
        <v>77</v>
      </c>
      <c r="Z13" t="s">
        <v>98</v>
      </c>
      <c r="AA13" t="s">
        <v>99</v>
      </c>
      <c r="AB13" s="61" t="s">
        <v>70</v>
      </c>
      <c r="AC13" t="s">
        <v>79</v>
      </c>
    </row>
    <row r="14" spans="1:29" x14ac:dyDescent="0.25">
      <c r="B14" s="55"/>
      <c r="C14" s="39"/>
      <c r="D14" s="56"/>
      <c r="E14" s="57"/>
      <c r="F14" s="57"/>
      <c r="G14" s="57"/>
      <c r="I14" s="58"/>
      <c r="P14" s="62"/>
      <c r="R14" s="62"/>
      <c r="S14" s="60"/>
      <c r="T14" s="62"/>
      <c r="U14" s="61"/>
      <c r="V14" s="62"/>
      <c r="AB14" s="61"/>
    </row>
    <row r="15" spans="1:29" x14ac:dyDescent="0.25">
      <c r="B15" s="55"/>
      <c r="C15" s="39"/>
      <c r="D15" s="56"/>
      <c r="E15" s="57"/>
      <c r="F15" s="57"/>
      <c r="G15" s="57"/>
      <c r="I15" s="58"/>
      <c r="P15" s="62"/>
      <c r="R15" s="62"/>
      <c r="S15" s="60"/>
      <c r="T15" s="62"/>
      <c r="U15" s="61"/>
      <c r="V15" s="62"/>
      <c r="AB15" s="61"/>
    </row>
    <row r="16" spans="1:29" x14ac:dyDescent="0.25">
      <c r="B16" s="55"/>
      <c r="C16" s="39"/>
      <c r="D16" s="56"/>
      <c r="E16" s="57"/>
      <c r="F16" s="57"/>
      <c r="G16" s="57"/>
      <c r="I16" s="58"/>
      <c r="P16" s="62"/>
      <c r="R16" s="62"/>
      <c r="S16" s="60"/>
      <c r="T16" s="62"/>
      <c r="U16" s="61"/>
      <c r="V16" s="62"/>
      <c r="AB16" s="61"/>
    </row>
    <row r="17" spans="2:28" x14ac:dyDescent="0.25">
      <c r="B17" s="55"/>
      <c r="C17" s="39"/>
      <c r="D17" s="56"/>
      <c r="E17" s="57"/>
      <c r="F17" s="57"/>
      <c r="G17" s="57"/>
      <c r="I17" s="58"/>
      <c r="P17" s="62"/>
      <c r="R17" s="62"/>
      <c r="S17" s="60"/>
      <c r="T17" s="62"/>
      <c r="U17" s="61"/>
      <c r="V17" s="62"/>
      <c r="AB17" s="61"/>
    </row>
    <row r="18" spans="2:28" x14ac:dyDescent="0.25">
      <c r="B18" s="55"/>
      <c r="C18" s="39"/>
      <c r="D18" s="56"/>
      <c r="E18" s="57"/>
      <c r="F18" s="57"/>
      <c r="G18" s="57"/>
      <c r="I18" s="58"/>
      <c r="P18" s="62"/>
      <c r="R18" s="62"/>
      <c r="S18" s="60"/>
      <c r="T18" s="62"/>
      <c r="U18" s="61"/>
      <c r="V18" s="62"/>
      <c r="AB18" s="61"/>
    </row>
    <row r="19" spans="2:28" x14ac:dyDescent="0.25">
      <c r="B19" s="55"/>
      <c r="C19" s="39"/>
      <c r="D19" s="56"/>
      <c r="E19" s="57"/>
      <c r="F19" s="57"/>
      <c r="G19" s="57"/>
      <c r="I19" s="58"/>
      <c r="P19" s="62"/>
      <c r="R19" s="62"/>
      <c r="S19" s="60"/>
      <c r="T19" s="62"/>
      <c r="U19" s="61"/>
      <c r="V19" s="62"/>
      <c r="AB19" s="61"/>
    </row>
    <row r="20" spans="2:28" x14ac:dyDescent="0.25">
      <c r="B20" s="55"/>
      <c r="C20" s="39"/>
      <c r="D20" s="56"/>
      <c r="E20" s="57"/>
      <c r="F20" s="57"/>
      <c r="G20" s="57"/>
      <c r="I20" s="58"/>
      <c r="P20" s="62"/>
      <c r="R20" s="62"/>
      <c r="S20" s="60"/>
      <c r="T20" s="62"/>
      <c r="U20" s="61"/>
      <c r="V20" s="62"/>
      <c r="AB20" s="61"/>
    </row>
    <row r="21" spans="2:28" x14ac:dyDescent="0.25">
      <c r="B21" s="55"/>
      <c r="C21" s="39"/>
      <c r="D21" s="56"/>
      <c r="E21" s="57"/>
      <c r="F21" s="57"/>
      <c r="G21" s="57"/>
      <c r="I21" s="58"/>
      <c r="P21" s="62"/>
      <c r="R21" s="62"/>
      <c r="S21" s="60"/>
      <c r="T21" s="62"/>
      <c r="U21" s="61"/>
      <c r="V21" s="62"/>
      <c r="AB21" s="61"/>
    </row>
    <row r="22" spans="2:28" x14ac:dyDescent="0.25">
      <c r="B22" s="55"/>
      <c r="C22" s="39"/>
      <c r="D22" s="56"/>
      <c r="E22" s="57"/>
      <c r="F22" s="57"/>
      <c r="G22" s="57"/>
      <c r="I22" s="58"/>
      <c r="P22" s="62"/>
      <c r="R22" s="62"/>
      <c r="S22" s="60"/>
      <c r="T22" s="62"/>
      <c r="U22" s="61"/>
      <c r="V22" s="62"/>
      <c r="AB22" s="61"/>
    </row>
    <row r="23" spans="2:28" x14ac:dyDescent="0.25">
      <c r="B23" s="55"/>
      <c r="C23" s="39"/>
      <c r="D23" s="56"/>
      <c r="E23" s="57"/>
      <c r="F23" s="57"/>
      <c r="G23" s="57"/>
      <c r="I23" s="58"/>
      <c r="P23" s="62"/>
      <c r="R23" s="62"/>
      <c r="S23" s="60"/>
      <c r="T23" s="62"/>
      <c r="U23" s="61"/>
      <c r="V23" s="62"/>
      <c r="AB23" s="61"/>
    </row>
    <row r="24" spans="2:28" x14ac:dyDescent="0.25">
      <c r="B24" s="55"/>
      <c r="C24" s="39"/>
      <c r="D24" s="56"/>
      <c r="E24" s="57"/>
      <c r="F24" s="57"/>
      <c r="G24" s="57"/>
      <c r="I24" s="58"/>
      <c r="P24" s="62"/>
      <c r="R24" s="62"/>
      <c r="S24" s="60"/>
      <c r="T24" s="62"/>
      <c r="U24" s="61"/>
      <c r="V24" s="62"/>
      <c r="AB24" s="61"/>
    </row>
    <row r="25" spans="2:28" x14ac:dyDescent="0.25">
      <c r="B25" s="55"/>
      <c r="C25" s="39"/>
      <c r="D25" s="56"/>
      <c r="E25" s="57"/>
      <c r="F25" s="57"/>
      <c r="G25" s="57"/>
      <c r="I25" s="58"/>
      <c r="P25" s="62"/>
      <c r="R25" s="62"/>
      <c r="S25" s="60"/>
      <c r="T25" s="62"/>
      <c r="U25" s="61"/>
      <c r="V25" s="62"/>
      <c r="AB25" s="61"/>
    </row>
  </sheetData>
  <autoFilter ref="A1:AC1" xr:uid="{00000000-0009-0000-0000-000001000000}"/>
  <phoneticPr fontId="0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C6"/>
  <sheetViews>
    <sheetView workbookViewId="0">
      <selection activeCell="B5" sqref="B5"/>
    </sheetView>
  </sheetViews>
  <sheetFormatPr defaultRowHeight="15" x14ac:dyDescent="0.25"/>
  <cols>
    <col min="1" max="1" width="13.140625" customWidth="1"/>
    <col min="2" max="2" width="17.28515625" customWidth="1"/>
    <col min="3" max="3" width="17.85546875" bestFit="1" customWidth="1"/>
  </cols>
  <sheetData>
    <row r="3" spans="1:3" x14ac:dyDescent="0.25">
      <c r="A3" s="50" t="s">
        <v>60</v>
      </c>
      <c r="B3" t="s">
        <v>63</v>
      </c>
      <c r="C3" t="s">
        <v>64</v>
      </c>
    </row>
    <row r="4" spans="1:3" x14ac:dyDescent="0.25">
      <c r="A4" s="4" t="s">
        <v>61</v>
      </c>
      <c r="B4" s="51"/>
      <c r="C4" s="51"/>
    </row>
    <row r="5" spans="1:3" x14ac:dyDescent="0.25">
      <c r="A5" s="4" t="s">
        <v>100</v>
      </c>
      <c r="B5" s="51">
        <v>0</v>
      </c>
      <c r="C5" s="51">
        <v>0</v>
      </c>
    </row>
    <row r="6" spans="1:3" x14ac:dyDescent="0.25">
      <c r="A6" s="4" t="s">
        <v>62</v>
      </c>
      <c r="B6" s="51">
        <v>0</v>
      </c>
      <c r="C6" s="51">
        <v>0</v>
      </c>
    </row>
  </sheetData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Sales Confirmation</vt:lpstr>
      <vt:lpstr>Run Sheet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 Hudson</dc:creator>
  <cp:lastModifiedBy>Lee Hudson</cp:lastModifiedBy>
  <cp:lastPrinted>2010-05-14T17:53:22Z</cp:lastPrinted>
  <dcterms:created xsi:type="dcterms:W3CDTF">2010-05-13T01:42:58Z</dcterms:created>
  <dcterms:modified xsi:type="dcterms:W3CDTF">2026-04-16T02:26:52Z</dcterms:modified>
</cp:coreProperties>
</file>