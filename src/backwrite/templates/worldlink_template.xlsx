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ales Confirmation" sheetId="1" state="visible" r:id="rId1"/>
    <sheet name="MONTHLY LINES AND BROKER FEES" sheetId="2" state="visible" r:id="rId2"/>
  </sheets>
  <definedNames>
    <definedName name="_xlnm._FilterDatabase" localSheetId="1" hidden="1">'MONTHLY LINES AND BROKER FEES'!$A$1:$AC$502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mmm\-yy;@"/>
    <numFmt numFmtId="165" formatCode="[h]:mm:ss;@"/>
    <numFmt numFmtId="166" formatCode="_(&quot;$&quot;* #,##0.00_);_(&quot;$&quot;* \(#,##0.00\);_(&quot;$&quot;* &quot;-&quot;??_);_(@_)"/>
    <numFmt numFmtId="167" formatCode="m/d/yy"/>
    <numFmt numFmtId="168" formatCode="&quot;$&quot;#,##0.00_);\(&quot;$&quot;#,##0.00\)"/>
    <numFmt numFmtId="169" formatCode="[&lt;=9999999]###\-####;\(###\)\ ###\-####"/>
  </numFmts>
  <fonts count="49"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  <u val="single"/>
    </font>
    <font>
      <name val="Arial"/>
      <family val="2"/>
      <sz val="12"/>
    </font>
    <font>
      <name val="Calibri"/>
      <family val="2"/>
      <b val="1"/>
      <sz val="11"/>
    </font>
    <font>
      <name val="Calibri"/>
      <family val="2"/>
      <color indexed="8"/>
      <sz val="11"/>
    </font>
    <font>
      <name val="Calibri"/>
      <family val="2"/>
      <sz val="11"/>
    </font>
    <font>
      <name val="Arial"/>
      <family val="2"/>
      <sz val="10"/>
    </font>
    <font>
      <name val="Calibri"/>
      <family val="2"/>
      <b val="1"/>
      <i val="1"/>
      <color indexed="8"/>
      <sz val="11"/>
    </font>
    <font>
      <name val="Calibri"/>
      <family val="2"/>
      <i val="1"/>
      <color indexed="8"/>
      <sz val="11"/>
    </font>
    <font>
      <name val="Calibri"/>
      <family val="2"/>
      <color indexed="8"/>
      <sz val="9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color indexed="10"/>
      <sz val="11"/>
    </font>
    <font>
      <name val="Calibri"/>
      <family val="2"/>
      <color theme="10"/>
      <sz val="11"/>
      <u val="single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color rgb="FF9C6500"/>
      <sz val="11"/>
      <scheme val="minor"/>
    </font>
    <font>
      <name val="Geneva"/>
      <sz val="9"/>
    </font>
    <font>
      <name val="Geneva"/>
      <color indexed="12"/>
      <sz val="9"/>
      <u val="single"/>
    </font>
    <font>
      <name val="ＭＳ Ｐゴシック"/>
      <charset val="128"/>
      <family val="3"/>
      <sz val="11"/>
    </font>
    <font>
      <name val="Calibri"/>
      <family val="2"/>
      <color rgb="FF000000"/>
      <sz val="11"/>
      <scheme val="minor"/>
    </font>
    <font>
      <name val="Calibri"/>
      <family val="2"/>
      <color rgb="FF0000FF"/>
      <sz val="11"/>
      <u val="single"/>
      <scheme val="minor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92D050"/>
        <bgColor indexed="64"/>
      </patternFill>
    </fill>
  </fills>
  <borders count="3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double">
        <color indexed="64"/>
      </bottom>
      <diagonal/>
    </border>
    <border>
      <left/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double">
        <color auto="1"/>
      </top>
      <bottom/>
      <diagonal/>
    </border>
  </borders>
  <cellStyleXfs count="1912">
    <xf numFmtId="164" fontId="27" fillId="0" borderId="0"/>
    <xf numFmtId="164" fontId="5" fillId="2" borderId="0"/>
    <xf numFmtId="164" fontId="5" fillId="2" borderId="0"/>
    <xf numFmtId="164" fontId="5" fillId="3" borderId="0"/>
    <xf numFmtId="164" fontId="5" fillId="3" borderId="0"/>
    <xf numFmtId="164" fontId="5" fillId="4" borderId="0"/>
    <xf numFmtId="164" fontId="5" fillId="4" borderId="0"/>
    <xf numFmtId="164" fontId="5" fillId="5" borderId="0"/>
    <xf numFmtId="164" fontId="5" fillId="5" borderId="0"/>
    <xf numFmtId="164" fontId="5" fillId="6" borderId="0"/>
    <xf numFmtId="164" fontId="5" fillId="6" borderId="0"/>
    <xf numFmtId="164" fontId="5" fillId="7" borderId="0"/>
    <xf numFmtId="164" fontId="5" fillId="7" borderId="0"/>
    <xf numFmtId="164" fontId="5" fillId="8" borderId="0"/>
    <xf numFmtId="164" fontId="5" fillId="8" borderId="0"/>
    <xf numFmtId="164" fontId="5" fillId="9" borderId="0"/>
    <xf numFmtId="164" fontId="5" fillId="9" borderId="0"/>
    <xf numFmtId="164" fontId="5" fillId="10" borderId="0"/>
    <xf numFmtId="164" fontId="5" fillId="10" borderId="0"/>
    <xf numFmtId="164" fontId="5" fillId="5" borderId="0"/>
    <xf numFmtId="164" fontId="5" fillId="5" borderId="0"/>
    <xf numFmtId="164" fontId="5" fillId="8" borderId="0"/>
    <xf numFmtId="164" fontId="5" fillId="8" borderId="0"/>
    <xf numFmtId="164" fontId="5" fillId="11" borderId="0"/>
    <xf numFmtId="164" fontId="5" fillId="11" borderId="0"/>
    <xf numFmtId="164" fontId="11" fillId="12" borderId="0"/>
    <xf numFmtId="164" fontId="11" fillId="12" borderId="0"/>
    <xf numFmtId="164" fontId="11" fillId="9" borderId="0"/>
    <xf numFmtId="164" fontId="11" fillId="9" borderId="0"/>
    <xf numFmtId="164" fontId="11" fillId="10" borderId="0"/>
    <xf numFmtId="164" fontId="11" fillId="10" borderId="0"/>
    <xf numFmtId="164" fontId="11" fillId="13" borderId="0"/>
    <xf numFmtId="164" fontId="11" fillId="13" borderId="0"/>
    <xf numFmtId="164" fontId="11" fillId="14" borderId="0"/>
    <xf numFmtId="164" fontId="11" fillId="14" borderId="0"/>
    <xf numFmtId="164" fontId="11" fillId="15" borderId="0"/>
    <xf numFmtId="164" fontId="11" fillId="15" borderId="0"/>
    <xf numFmtId="164" fontId="11" fillId="16" borderId="0"/>
    <xf numFmtId="164" fontId="11" fillId="16" borderId="0"/>
    <xf numFmtId="164" fontId="11" fillId="17" borderId="0"/>
    <xf numFmtId="164" fontId="11" fillId="17" borderId="0"/>
    <xf numFmtId="164" fontId="11" fillId="18" borderId="0"/>
    <xf numFmtId="164" fontId="11" fillId="18" borderId="0"/>
    <xf numFmtId="164" fontId="11" fillId="13" borderId="0"/>
    <xf numFmtId="164" fontId="11" fillId="13" borderId="0"/>
    <xf numFmtId="164" fontId="11" fillId="14" borderId="0"/>
    <xf numFmtId="164" fontId="11" fillId="14" borderId="0"/>
    <xf numFmtId="164" fontId="11" fillId="19" borderId="0"/>
    <xf numFmtId="164" fontId="11" fillId="19" borderId="0"/>
    <xf numFmtId="164" fontId="12" fillId="3" borderId="0"/>
    <xf numFmtId="164" fontId="12" fillId="3" borderId="0"/>
    <xf numFmtId="164" fontId="13" fillId="20" borderId="1"/>
    <xf numFmtId="164" fontId="13" fillId="20" borderId="1"/>
    <xf numFmtId="164" fontId="14" fillId="21" borderId="2"/>
    <xf numFmtId="164" fontId="14" fillId="21" borderId="2"/>
    <xf numFmtId="44" fontId="5" fillId="0" borderId="0"/>
    <xf numFmtId="44" fontId="7" fillId="0" borderId="0"/>
    <xf numFmtId="44" fontId="7" fillId="0" borderId="0"/>
    <xf numFmtId="164" fontId="15" fillId="0" borderId="0"/>
    <xf numFmtId="164" fontId="15" fillId="0" borderId="0"/>
    <xf numFmtId="164" fontId="16" fillId="4" borderId="0"/>
    <xf numFmtId="164" fontId="16" fillId="4" borderId="0"/>
    <xf numFmtId="164" fontId="17" fillId="0" borderId="3"/>
    <xf numFmtId="164" fontId="17" fillId="0" borderId="3"/>
    <xf numFmtId="164" fontId="18" fillId="0" borderId="4"/>
    <xf numFmtId="164" fontId="18" fillId="0" borderId="4"/>
    <xf numFmtId="164" fontId="19" fillId="0" borderId="5"/>
    <xf numFmtId="164" fontId="19" fillId="0" borderId="5"/>
    <xf numFmtId="164" fontId="19" fillId="0" borderId="0"/>
    <xf numFmtId="164" fontId="19" fillId="0" borderId="0"/>
    <xf numFmtId="164" fontId="26" fillId="0" borderId="0" applyAlignment="1" applyProtection="1">
      <alignment vertical="top"/>
      <protection locked="0" hidden="0"/>
    </xf>
    <xf numFmtId="164" fontId="20" fillId="7" borderId="1"/>
    <xf numFmtId="164" fontId="20" fillId="7" borderId="1"/>
    <xf numFmtId="164" fontId="21" fillId="0" borderId="6"/>
    <xf numFmtId="164" fontId="21" fillId="0" borderId="6"/>
    <xf numFmtId="164" fontId="22" fillId="22" borderId="0"/>
    <xf numFmtId="164" fontId="22" fillId="22" borderId="0"/>
    <xf numFmtId="164" fontId="7" fillId="0" borderId="0"/>
    <xf numFmtId="164" fontId="3" fillId="0" borderId="0"/>
    <xf numFmtId="164" fontId="7" fillId="23" borderId="7"/>
    <xf numFmtId="164" fontId="7" fillId="23" borderId="7"/>
    <xf numFmtId="164" fontId="23" fillId="20" borderId="8"/>
    <xf numFmtId="164" fontId="23" fillId="20" borderId="8"/>
    <xf numFmtId="164" fontId="24" fillId="0" borderId="0"/>
    <xf numFmtId="164" fontId="24" fillId="0" borderId="0"/>
    <xf numFmtId="164" fontId="1" fillId="0" borderId="9"/>
    <xf numFmtId="164" fontId="1" fillId="0" borderId="9"/>
    <xf numFmtId="164" fontId="25" fillId="0" borderId="0"/>
    <xf numFmtId="164" fontId="25" fillId="0" borderId="0"/>
    <xf numFmtId="164" fontId="7" fillId="0" borderId="0"/>
    <xf numFmtId="0" fontId="28" fillId="0" borderId="22"/>
    <xf numFmtId="0" fontId="29" fillId="0" borderId="23"/>
    <xf numFmtId="0" fontId="30" fillId="0" borderId="24"/>
    <xf numFmtId="0" fontId="30" fillId="0" borderId="0"/>
    <xf numFmtId="0" fontId="31" fillId="25" borderId="0"/>
    <xf numFmtId="0" fontId="32" fillId="26" borderId="0"/>
    <xf numFmtId="0" fontId="33" fillId="28" borderId="25"/>
    <xf numFmtId="0" fontId="34" fillId="29" borderId="26"/>
    <xf numFmtId="0" fontId="35" fillId="29" borderId="25"/>
    <xf numFmtId="0" fontId="36" fillId="0" borderId="27"/>
    <xf numFmtId="0" fontId="37" fillId="30" borderId="28"/>
    <xf numFmtId="0" fontId="38" fillId="0" borderId="0"/>
    <xf numFmtId="0" fontId="27" fillId="31" borderId="29"/>
    <xf numFmtId="0" fontId="39" fillId="0" borderId="0"/>
    <xf numFmtId="0" fontId="40" fillId="0" borderId="30"/>
    <xf numFmtId="0" fontId="41" fillId="32" borderId="0"/>
    <xf numFmtId="0" fontId="27" fillId="33" borderId="0"/>
    <xf numFmtId="0" fontId="27" fillId="34" borderId="0"/>
    <xf numFmtId="0" fontId="41" fillId="36" borderId="0"/>
    <xf numFmtId="0" fontId="27" fillId="37" borderId="0"/>
    <xf numFmtId="0" fontId="27" fillId="38" borderId="0"/>
    <xf numFmtId="0" fontId="41" fillId="40" borderId="0"/>
    <xf numFmtId="0" fontId="27" fillId="41" borderId="0"/>
    <xf numFmtId="0" fontId="27" fillId="42" borderId="0"/>
    <xf numFmtId="0" fontId="41" fillId="44" borderId="0"/>
    <xf numFmtId="0" fontId="27" fillId="45" borderId="0"/>
    <xf numFmtId="0" fontId="27" fillId="46" borderId="0"/>
    <xf numFmtId="0" fontId="41" fillId="48" borderId="0"/>
    <xf numFmtId="0" fontId="27" fillId="49" borderId="0"/>
    <xf numFmtId="0" fontId="27" fillId="50" borderId="0"/>
    <xf numFmtId="0" fontId="41" fillId="52" borderId="0"/>
    <xf numFmtId="0" fontId="27" fillId="53" borderId="0"/>
    <xf numFmtId="0" fontId="27" fillId="54" borderId="0"/>
    <xf numFmtId="0" fontId="27" fillId="0" borderId="0"/>
    <xf numFmtId="44" fontId="7" fillId="0" borderId="0"/>
    <xf numFmtId="164" fontId="7" fillId="0" borderId="0"/>
    <xf numFmtId="44" fontId="7" fillId="0" borderId="0"/>
    <xf numFmtId="164" fontId="7" fillId="0" borderId="0"/>
    <xf numFmtId="44" fontId="27" fillId="0" borderId="0"/>
    <xf numFmtId="0" fontId="5" fillId="2" borderId="0"/>
    <xf numFmtId="0" fontId="5" fillId="2" borderId="0"/>
    <xf numFmtId="0" fontId="5" fillId="3" borderId="0"/>
    <xf numFmtId="0" fontId="5" fillId="3" borderId="0"/>
    <xf numFmtId="0" fontId="5" fillId="4" borderId="0"/>
    <xf numFmtId="0" fontId="5" fillId="4" borderId="0"/>
    <xf numFmtId="0" fontId="5" fillId="5" borderId="0"/>
    <xf numFmtId="0" fontId="5" fillId="5" borderId="0"/>
    <xf numFmtId="0" fontId="5" fillId="6" borderId="0"/>
    <xf numFmtId="0" fontId="5" fillId="6" borderId="0"/>
    <xf numFmtId="0" fontId="5" fillId="7" borderId="0"/>
    <xf numFmtId="0" fontId="5" fillId="7" borderId="0"/>
    <xf numFmtId="0" fontId="5" fillId="8" borderId="0"/>
    <xf numFmtId="0" fontId="5" fillId="8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5" borderId="0"/>
    <xf numFmtId="0" fontId="5" fillId="5" borderId="0"/>
    <xf numFmtId="0" fontId="5" fillId="8" borderId="0"/>
    <xf numFmtId="0" fontId="5" fillId="8" borderId="0"/>
    <xf numFmtId="0" fontId="5" fillId="11" borderId="0"/>
    <xf numFmtId="0" fontId="5" fillId="11" borderId="0"/>
    <xf numFmtId="0" fontId="11" fillId="12" borderId="0"/>
    <xf numFmtId="0" fontId="11" fillId="12" borderId="0"/>
    <xf numFmtId="0" fontId="11" fillId="9" borderId="0"/>
    <xf numFmtId="0" fontId="11" fillId="9" borderId="0"/>
    <xf numFmtId="0" fontId="11" fillId="10" borderId="0"/>
    <xf numFmtId="0" fontId="11" fillId="10" borderId="0"/>
    <xf numFmtId="0" fontId="11" fillId="13" borderId="0"/>
    <xf numFmtId="0" fontId="11" fillId="13" borderId="0"/>
    <xf numFmtId="0" fontId="11" fillId="14" borderId="0"/>
    <xf numFmtId="0" fontId="11" fillId="14" borderId="0"/>
    <xf numFmtId="0" fontId="11" fillId="15" borderId="0"/>
    <xf numFmtId="0" fontId="11" fillId="15" borderId="0"/>
    <xf numFmtId="0" fontId="11" fillId="16" borderId="0"/>
    <xf numFmtId="0" fontId="11" fillId="16" borderId="0"/>
    <xf numFmtId="0" fontId="11" fillId="17" borderId="0"/>
    <xf numFmtId="0" fontId="11" fillId="17" borderId="0"/>
    <xf numFmtId="0" fontId="11" fillId="18" borderId="0"/>
    <xf numFmtId="0" fontId="11" fillId="18" borderId="0"/>
    <xf numFmtId="0" fontId="11" fillId="13" borderId="0"/>
    <xf numFmtId="0" fontId="11" fillId="13" borderId="0"/>
    <xf numFmtId="0" fontId="11" fillId="14" borderId="0"/>
    <xf numFmtId="0" fontId="11" fillId="14" borderId="0"/>
    <xf numFmtId="0" fontId="11" fillId="19" borderId="0"/>
    <xf numFmtId="0" fontId="11" fillId="19" borderId="0"/>
    <xf numFmtId="0" fontId="12" fillId="3" borderId="0"/>
    <xf numFmtId="0" fontId="12" fillId="3" borderId="0"/>
    <xf numFmtId="0" fontId="13" fillId="20" borderId="1"/>
    <xf numFmtId="0" fontId="13" fillId="20" borderId="1"/>
    <xf numFmtId="0" fontId="14" fillId="21" borderId="2"/>
    <xf numFmtId="0" fontId="14" fillId="21" borderId="2"/>
    <xf numFmtId="44" fontId="5" fillId="0" borderId="0"/>
    <xf numFmtId="0" fontId="15" fillId="0" borderId="0"/>
    <xf numFmtId="0" fontId="15" fillId="0" borderId="0"/>
    <xf numFmtId="0" fontId="16" fillId="4" borderId="0"/>
    <xf numFmtId="0" fontId="16" fillId="4" borderId="0"/>
    <xf numFmtId="0" fontId="17" fillId="0" borderId="3"/>
    <xf numFmtId="0" fontId="17" fillId="0" borderId="3"/>
    <xf numFmtId="0" fontId="18" fillId="0" borderId="4"/>
    <xf numFmtId="0" fontId="18" fillId="0" borderId="4"/>
    <xf numFmtId="0" fontId="19" fillId="0" borderId="5"/>
    <xf numFmtId="0" fontId="19" fillId="0" borderId="5"/>
    <xf numFmtId="0" fontId="19" fillId="0" borderId="0"/>
    <xf numFmtId="0" fontId="19" fillId="0" borderId="0"/>
    <xf numFmtId="0" fontId="26" fillId="0" borderId="0" applyAlignment="1" applyProtection="1">
      <alignment vertical="top"/>
      <protection locked="0" hidden="0"/>
    </xf>
    <xf numFmtId="0" fontId="20" fillId="7" borderId="1"/>
    <xf numFmtId="0" fontId="20" fillId="7" borderId="1"/>
    <xf numFmtId="0" fontId="21" fillId="0" borderId="6"/>
    <xf numFmtId="0" fontId="21" fillId="0" borderId="6"/>
    <xf numFmtId="0" fontId="22" fillId="22" borderId="0"/>
    <xf numFmtId="0" fontId="22" fillId="22" borderId="0"/>
    <xf numFmtId="0" fontId="7" fillId="0" borderId="0"/>
    <xf numFmtId="0" fontId="7" fillId="23" borderId="7"/>
    <xf numFmtId="0" fontId="7" fillId="23" borderId="7"/>
    <xf numFmtId="0" fontId="23" fillId="20" borderId="8"/>
    <xf numFmtId="0" fontId="23" fillId="20" borderId="8"/>
    <xf numFmtId="0" fontId="24" fillId="0" borderId="0"/>
    <xf numFmtId="0" fontId="24" fillId="0" borderId="0"/>
    <xf numFmtId="0" fontId="1" fillId="0" borderId="9"/>
    <xf numFmtId="0" fontId="1" fillId="0" borderId="9"/>
    <xf numFmtId="0" fontId="25" fillId="0" borderId="0"/>
    <xf numFmtId="0" fontId="25" fillId="0" borderId="0"/>
    <xf numFmtId="44" fontId="7" fillId="0" borderId="0"/>
    <xf numFmtId="164" fontId="27" fillId="0" borderId="0"/>
    <xf numFmtId="164" fontId="5" fillId="2" borderId="0"/>
    <xf numFmtId="164" fontId="5" fillId="2" borderId="0"/>
    <xf numFmtId="164" fontId="5" fillId="2" borderId="0"/>
    <xf numFmtId="164" fontId="5" fillId="3" borderId="0"/>
    <xf numFmtId="164" fontId="5" fillId="3" borderId="0"/>
    <xf numFmtId="164" fontId="5" fillId="3" borderId="0"/>
    <xf numFmtId="164" fontId="5" fillId="4" borderId="0"/>
    <xf numFmtId="164" fontId="5" fillId="4" borderId="0"/>
    <xf numFmtId="164" fontId="5" fillId="4" borderId="0"/>
    <xf numFmtId="164" fontId="5" fillId="5" borderId="0"/>
    <xf numFmtId="164" fontId="5" fillId="5" borderId="0"/>
    <xf numFmtId="164" fontId="5" fillId="5" borderId="0"/>
    <xf numFmtId="164" fontId="5" fillId="6" borderId="0"/>
    <xf numFmtId="164" fontId="5" fillId="6" borderId="0"/>
    <xf numFmtId="164" fontId="5" fillId="6" borderId="0"/>
    <xf numFmtId="164" fontId="5" fillId="7" borderId="0"/>
    <xf numFmtId="164" fontId="5" fillId="7" borderId="0"/>
    <xf numFmtId="164" fontId="5" fillId="7" borderId="0"/>
    <xf numFmtId="164" fontId="5" fillId="8" borderId="0"/>
    <xf numFmtId="164" fontId="5" fillId="8" borderId="0"/>
    <xf numFmtId="164" fontId="5" fillId="8" borderId="0"/>
    <xf numFmtId="164" fontId="5" fillId="9" borderId="0"/>
    <xf numFmtId="164" fontId="5" fillId="9" borderId="0"/>
    <xf numFmtId="164" fontId="5" fillId="9" borderId="0"/>
    <xf numFmtId="164" fontId="5" fillId="10" borderId="0"/>
    <xf numFmtId="164" fontId="5" fillId="10" borderId="0"/>
    <xf numFmtId="164" fontId="5" fillId="10" borderId="0"/>
    <xf numFmtId="164" fontId="5" fillId="5" borderId="0"/>
    <xf numFmtId="164" fontId="5" fillId="5" borderId="0"/>
    <xf numFmtId="164" fontId="5" fillId="5" borderId="0"/>
    <xf numFmtId="164" fontId="5" fillId="8" borderId="0"/>
    <xf numFmtId="164" fontId="5" fillId="8" borderId="0"/>
    <xf numFmtId="164" fontId="5" fillId="8" borderId="0"/>
    <xf numFmtId="164" fontId="5" fillId="11" borderId="0"/>
    <xf numFmtId="164" fontId="5" fillId="11" borderId="0"/>
    <xf numFmtId="164" fontId="5" fillId="11" borderId="0"/>
    <xf numFmtId="164" fontId="11" fillId="12" borderId="0"/>
    <xf numFmtId="164" fontId="11" fillId="12" borderId="0"/>
    <xf numFmtId="164" fontId="11" fillId="12" borderId="0"/>
    <xf numFmtId="164" fontId="11" fillId="9" borderId="0"/>
    <xf numFmtId="164" fontId="11" fillId="9" borderId="0"/>
    <xf numFmtId="164" fontId="11" fillId="9" borderId="0"/>
    <xf numFmtId="164" fontId="11" fillId="10" borderId="0"/>
    <xf numFmtId="164" fontId="11" fillId="10" borderId="0"/>
    <xf numFmtId="164" fontId="11" fillId="10" borderId="0"/>
    <xf numFmtId="164" fontId="11" fillId="13" borderId="0"/>
    <xf numFmtId="164" fontId="11" fillId="13" borderId="0"/>
    <xf numFmtId="164" fontId="11" fillId="13" borderId="0"/>
    <xf numFmtId="164" fontId="11" fillId="14" borderId="0"/>
    <xf numFmtId="164" fontId="11" fillId="14" borderId="0"/>
    <xf numFmtId="164" fontId="11" fillId="14" borderId="0"/>
    <xf numFmtId="164" fontId="11" fillId="15" borderId="0"/>
    <xf numFmtId="164" fontId="11" fillId="15" borderId="0"/>
    <xf numFmtId="164" fontId="11" fillId="15" borderId="0"/>
    <xf numFmtId="164" fontId="11" fillId="16" borderId="0"/>
    <xf numFmtId="164" fontId="11" fillId="16" borderId="0"/>
    <xf numFmtId="164" fontId="11" fillId="16" borderId="0"/>
    <xf numFmtId="164" fontId="11" fillId="17" borderId="0"/>
    <xf numFmtId="164" fontId="11" fillId="17" borderId="0"/>
    <xf numFmtId="164" fontId="11" fillId="17" borderId="0"/>
    <xf numFmtId="164" fontId="11" fillId="18" borderId="0"/>
    <xf numFmtId="164" fontId="11" fillId="18" borderId="0"/>
    <xf numFmtId="164" fontId="11" fillId="18" borderId="0"/>
    <xf numFmtId="164" fontId="11" fillId="13" borderId="0"/>
    <xf numFmtId="164" fontId="11" fillId="13" borderId="0"/>
    <xf numFmtId="164" fontId="11" fillId="13" borderId="0"/>
    <xf numFmtId="164" fontId="11" fillId="14" borderId="0"/>
    <xf numFmtId="164" fontId="11" fillId="14" borderId="0"/>
    <xf numFmtId="164" fontId="11" fillId="14" borderId="0"/>
    <xf numFmtId="164" fontId="11" fillId="19" borderId="0"/>
    <xf numFmtId="164" fontId="11" fillId="19" borderId="0"/>
    <xf numFmtId="164" fontId="11" fillId="19" borderId="0"/>
    <xf numFmtId="164" fontId="12" fillId="3" borderId="0"/>
    <xf numFmtId="164" fontId="12" fillId="3" borderId="0"/>
    <xf numFmtId="164" fontId="12" fillId="3" borderId="0"/>
    <xf numFmtId="164" fontId="13" fillId="20" borderId="1"/>
    <xf numFmtId="164" fontId="13" fillId="20" borderId="1"/>
    <xf numFmtId="164" fontId="13" fillId="20" borderId="1"/>
    <xf numFmtId="164" fontId="14" fillId="21" borderId="2"/>
    <xf numFmtId="164" fontId="14" fillId="21" borderId="2"/>
    <xf numFmtId="164" fontId="14" fillId="21" borderId="2"/>
    <xf numFmtId="164" fontId="15" fillId="0" borderId="0"/>
    <xf numFmtId="164" fontId="15" fillId="0" borderId="0"/>
    <xf numFmtId="164" fontId="15" fillId="0" borderId="0"/>
    <xf numFmtId="164" fontId="16" fillId="4" borderId="0"/>
    <xf numFmtId="164" fontId="16" fillId="4" borderId="0"/>
    <xf numFmtId="164" fontId="16" fillId="4" borderId="0"/>
    <xf numFmtId="164" fontId="17" fillId="0" borderId="3"/>
    <xf numFmtId="164" fontId="17" fillId="0" borderId="3"/>
    <xf numFmtId="164" fontId="17" fillId="0" borderId="3"/>
    <xf numFmtId="164" fontId="18" fillId="0" borderId="4"/>
    <xf numFmtId="164" fontId="18" fillId="0" borderId="4"/>
    <xf numFmtId="164" fontId="18" fillId="0" borderId="4"/>
    <xf numFmtId="164" fontId="19" fillId="0" borderId="5"/>
    <xf numFmtId="164" fontId="19" fillId="0" borderId="5"/>
    <xf numFmtId="164" fontId="19" fillId="0" borderId="5"/>
    <xf numFmtId="164" fontId="19" fillId="0" borderId="0"/>
    <xf numFmtId="164" fontId="19" fillId="0" borderId="0"/>
    <xf numFmtId="164" fontId="19" fillId="0" borderId="0"/>
    <xf numFmtId="164" fontId="26" fillId="0" borderId="0" applyAlignment="1" applyProtection="1">
      <alignment vertical="top"/>
      <protection locked="0" hidden="0"/>
    </xf>
    <xf numFmtId="164" fontId="20" fillId="7" borderId="1"/>
    <xf numFmtId="164" fontId="20" fillId="7" borderId="1"/>
    <xf numFmtId="164" fontId="20" fillId="7" borderId="1"/>
    <xf numFmtId="164" fontId="21" fillId="0" borderId="6"/>
    <xf numFmtId="164" fontId="21" fillId="0" borderId="6"/>
    <xf numFmtId="164" fontId="21" fillId="0" borderId="6"/>
    <xf numFmtId="164" fontId="22" fillId="22" borderId="0"/>
    <xf numFmtId="164" fontId="22" fillId="22" borderId="0"/>
    <xf numFmtId="164" fontId="22" fillId="22" borderId="0"/>
    <xf numFmtId="164" fontId="27" fillId="0" borderId="0"/>
    <xf numFmtId="164" fontId="7" fillId="23" borderId="7"/>
    <xf numFmtId="164" fontId="7" fillId="23" borderId="7"/>
    <xf numFmtId="164" fontId="7" fillId="23" borderId="7"/>
    <xf numFmtId="164" fontId="23" fillId="20" borderId="8"/>
    <xf numFmtId="164" fontId="23" fillId="20" borderId="8"/>
    <xf numFmtId="164" fontId="23" fillId="20" borderId="8"/>
    <xf numFmtId="164" fontId="24" fillId="0" borderId="0"/>
    <xf numFmtId="164" fontId="24" fillId="0" borderId="0"/>
    <xf numFmtId="164" fontId="24" fillId="0" borderId="0"/>
    <xf numFmtId="164" fontId="1" fillId="0" borderId="9"/>
    <xf numFmtId="164" fontId="1" fillId="0" borderId="9"/>
    <xf numFmtId="164" fontId="1" fillId="0" borderId="9"/>
    <xf numFmtId="164" fontId="25" fillId="0" borderId="0"/>
    <xf numFmtId="164" fontId="25" fillId="0" borderId="0"/>
    <xf numFmtId="164" fontId="25" fillId="0" borderId="0"/>
    <xf numFmtId="164" fontId="27" fillId="0" borderId="0"/>
    <xf numFmtId="44" fontId="5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7" fillId="0" borderId="0"/>
    <xf numFmtId="164" fontId="5" fillId="2" borderId="0"/>
    <xf numFmtId="164" fontId="5" fillId="3" borderId="0"/>
    <xf numFmtId="164" fontId="5" fillId="4" borderId="0"/>
    <xf numFmtId="164" fontId="5" fillId="5" borderId="0"/>
    <xf numFmtId="164" fontId="5" fillId="6" borderId="0"/>
    <xf numFmtId="164" fontId="5" fillId="7" borderId="0"/>
    <xf numFmtId="164" fontId="5" fillId="8" borderId="0"/>
    <xf numFmtId="164" fontId="5" fillId="9" borderId="0"/>
    <xf numFmtId="164" fontId="5" fillId="10" borderId="0"/>
    <xf numFmtId="164" fontId="5" fillId="5" borderId="0"/>
    <xf numFmtId="164" fontId="5" fillId="8" borderId="0"/>
    <xf numFmtId="164" fontId="5" fillId="11" borderId="0"/>
    <xf numFmtId="164" fontId="11" fillId="12" borderId="0"/>
    <xf numFmtId="164" fontId="11" fillId="9" borderId="0"/>
    <xf numFmtId="164" fontId="11" fillId="10" borderId="0"/>
    <xf numFmtId="164" fontId="11" fillId="13" borderId="0"/>
    <xf numFmtId="164" fontId="11" fillId="14" borderId="0"/>
    <xf numFmtId="164" fontId="11" fillId="15" borderId="0"/>
    <xf numFmtId="164" fontId="11" fillId="16" borderId="0"/>
    <xf numFmtId="164" fontId="11" fillId="17" borderId="0"/>
    <xf numFmtId="164" fontId="11" fillId="18" borderId="0"/>
    <xf numFmtId="164" fontId="11" fillId="13" borderId="0"/>
    <xf numFmtId="164" fontId="11" fillId="14" borderId="0"/>
    <xf numFmtId="164" fontId="11" fillId="19" borderId="0"/>
    <xf numFmtId="164" fontId="12" fillId="3" borderId="0"/>
    <xf numFmtId="164" fontId="13" fillId="20" borderId="1"/>
    <xf numFmtId="164" fontId="14" fillId="21" borderId="2"/>
    <xf numFmtId="164" fontId="5" fillId="2" borderId="0"/>
    <xf numFmtId="164" fontId="15" fillId="0" borderId="0"/>
    <xf numFmtId="164" fontId="16" fillId="4" borderId="0"/>
    <xf numFmtId="164" fontId="17" fillId="0" borderId="3"/>
    <xf numFmtId="164" fontId="18" fillId="0" borderId="4"/>
    <xf numFmtId="164" fontId="19" fillId="0" borderId="5"/>
    <xf numFmtId="164" fontId="19" fillId="0" borderId="0"/>
    <xf numFmtId="164" fontId="20" fillId="7" borderId="1"/>
    <xf numFmtId="164" fontId="21" fillId="0" borderId="6"/>
    <xf numFmtId="164" fontId="22" fillId="22" borderId="0"/>
    <xf numFmtId="164" fontId="7" fillId="23" borderId="7"/>
    <xf numFmtId="164" fontId="23" fillId="20" borderId="8"/>
    <xf numFmtId="164" fontId="24" fillId="0" borderId="0"/>
    <xf numFmtId="164" fontId="1" fillId="0" borderId="9"/>
    <xf numFmtId="164" fontId="25" fillId="0" borderId="0"/>
    <xf numFmtId="164" fontId="5" fillId="3" borderId="0"/>
    <xf numFmtId="164" fontId="5" fillId="4" borderId="0"/>
    <xf numFmtId="164" fontId="5" fillId="5" borderId="0"/>
    <xf numFmtId="164" fontId="5" fillId="6" borderId="0"/>
    <xf numFmtId="164" fontId="5" fillId="7" borderId="0"/>
    <xf numFmtId="164" fontId="5" fillId="8" borderId="0"/>
    <xf numFmtId="164" fontId="5" fillId="9" borderId="0"/>
    <xf numFmtId="164" fontId="5" fillId="10" borderId="0"/>
    <xf numFmtId="164" fontId="5" fillId="5" borderId="0"/>
    <xf numFmtId="164" fontId="5" fillId="8" borderId="0"/>
    <xf numFmtId="164" fontId="5" fillId="11" borderId="0"/>
    <xf numFmtId="164" fontId="11" fillId="12" borderId="0"/>
    <xf numFmtId="164" fontId="11" fillId="9" borderId="0"/>
    <xf numFmtId="164" fontId="11" fillId="10" borderId="0"/>
    <xf numFmtId="164" fontId="11" fillId="13" borderId="0"/>
    <xf numFmtId="164" fontId="11" fillId="14" borderId="0"/>
    <xf numFmtId="164" fontId="11" fillId="15" borderId="0"/>
    <xf numFmtId="164" fontId="11" fillId="16" borderId="0"/>
    <xf numFmtId="164" fontId="11" fillId="17" borderId="0"/>
    <xf numFmtId="164" fontId="11" fillId="18" borderId="0"/>
    <xf numFmtId="164" fontId="11" fillId="13" borderId="0"/>
    <xf numFmtId="164" fontId="11" fillId="14" borderId="0"/>
    <xf numFmtId="164" fontId="11" fillId="19" borderId="0"/>
    <xf numFmtId="164" fontId="12" fillId="3" borderId="0"/>
    <xf numFmtId="164" fontId="13" fillId="20" borderId="1"/>
    <xf numFmtId="164" fontId="14" fillId="21" borderId="2"/>
    <xf numFmtId="164" fontId="15" fillId="0" borderId="0"/>
    <xf numFmtId="164" fontId="16" fillId="4" borderId="0"/>
    <xf numFmtId="164" fontId="17" fillId="0" borderId="3"/>
    <xf numFmtId="164" fontId="18" fillId="0" borderId="4"/>
    <xf numFmtId="164" fontId="19" fillId="0" borderId="5"/>
    <xf numFmtId="164" fontId="19" fillId="0" borderId="0"/>
    <xf numFmtId="164" fontId="20" fillId="7" borderId="1"/>
    <xf numFmtId="164" fontId="21" fillId="0" borderId="6"/>
    <xf numFmtId="164" fontId="22" fillId="22" borderId="0"/>
    <xf numFmtId="164" fontId="7" fillId="23" borderId="7"/>
    <xf numFmtId="164" fontId="23" fillId="20" borderId="8"/>
    <xf numFmtId="164" fontId="24" fillId="0" borderId="0"/>
    <xf numFmtId="164" fontId="1" fillId="0" borderId="9"/>
    <xf numFmtId="164" fontId="25" fillId="0" borderId="0"/>
    <xf numFmtId="164" fontId="7" fillId="0" borderId="0"/>
    <xf numFmtId="164" fontId="7" fillId="0" borderId="0"/>
    <xf numFmtId="164" fontId="26" fillId="0" borderId="0" applyAlignment="1" applyProtection="1">
      <alignment vertical="top"/>
      <protection locked="0" hidden="0"/>
    </xf>
    <xf numFmtId="164" fontId="27" fillId="0" borderId="0"/>
    <xf numFmtId="164" fontId="7" fillId="0" borderId="0"/>
    <xf numFmtId="44" fontId="27" fillId="0" borderId="0"/>
    <xf numFmtId="164" fontId="42" fillId="0" borderId="0"/>
    <xf numFmtId="164" fontId="28" fillId="0" borderId="22"/>
    <xf numFmtId="164" fontId="29" fillId="0" borderId="23"/>
    <xf numFmtId="164" fontId="30" fillId="0" borderId="24"/>
    <xf numFmtId="164" fontId="30" fillId="0" borderId="0"/>
    <xf numFmtId="164" fontId="31" fillId="25" borderId="0"/>
    <xf numFmtId="164" fontId="32" fillId="26" borderId="0"/>
    <xf numFmtId="164" fontId="43" fillId="27" borderId="0"/>
    <xf numFmtId="164" fontId="33" fillId="28" borderId="25"/>
    <xf numFmtId="164" fontId="34" fillId="29" borderId="26"/>
    <xf numFmtId="164" fontId="35" fillId="29" borderId="25"/>
    <xf numFmtId="164" fontId="36" fillId="0" borderId="27"/>
    <xf numFmtId="164" fontId="37" fillId="30" borderId="28"/>
    <xf numFmtId="164" fontId="38" fillId="0" borderId="0"/>
    <xf numFmtId="164" fontId="27" fillId="31" borderId="29"/>
    <xf numFmtId="164" fontId="39" fillId="0" borderId="0"/>
    <xf numFmtId="164" fontId="40" fillId="0" borderId="30"/>
    <xf numFmtId="164" fontId="41" fillId="32" borderId="0"/>
    <xf numFmtId="164" fontId="27" fillId="33" borderId="0"/>
    <xf numFmtId="164" fontId="27" fillId="34" borderId="0"/>
    <xf numFmtId="164" fontId="41" fillId="35" borderId="0"/>
    <xf numFmtId="164" fontId="41" fillId="36" borderId="0"/>
    <xf numFmtId="164" fontId="27" fillId="37" borderId="0"/>
    <xf numFmtId="164" fontId="27" fillId="38" borderId="0"/>
    <xf numFmtId="164" fontId="41" fillId="39" borderId="0"/>
    <xf numFmtId="164" fontId="41" fillId="40" borderId="0"/>
    <xf numFmtId="164" fontId="27" fillId="41" borderId="0"/>
    <xf numFmtId="164" fontId="27" fillId="42" borderId="0"/>
    <xf numFmtId="164" fontId="41" fillId="43" borderId="0"/>
    <xf numFmtId="164" fontId="41" fillId="44" borderId="0"/>
    <xf numFmtId="164" fontId="27" fillId="45" borderId="0"/>
    <xf numFmtId="164" fontId="27" fillId="46" borderId="0"/>
    <xf numFmtId="164" fontId="41" fillId="47" borderId="0"/>
    <xf numFmtId="164" fontId="41" fillId="48" borderId="0"/>
    <xf numFmtId="164" fontId="27" fillId="49" borderId="0"/>
    <xf numFmtId="164" fontId="27" fillId="50" borderId="0"/>
    <xf numFmtId="164" fontId="41" fillId="51" borderId="0"/>
    <xf numFmtId="164" fontId="41" fillId="52" borderId="0"/>
    <xf numFmtId="164" fontId="27" fillId="53" borderId="0"/>
    <xf numFmtId="164" fontId="27" fillId="54" borderId="0"/>
    <xf numFmtId="164" fontId="41" fillId="55" borderId="0"/>
    <xf numFmtId="164" fontId="7" fillId="0" borderId="0"/>
    <xf numFmtId="164" fontId="7" fillId="23" borderId="7"/>
    <xf numFmtId="164" fontId="20" fillId="7" borderId="1"/>
    <xf numFmtId="164" fontId="20" fillId="7" borderId="1"/>
    <xf numFmtId="164" fontId="13" fillId="20" borderId="1"/>
    <xf numFmtId="164" fontId="13" fillId="20" borderId="1"/>
    <xf numFmtId="164" fontId="13" fillId="20" borderId="1"/>
    <xf numFmtId="164" fontId="13" fillId="20" borderId="1"/>
    <xf numFmtId="164" fontId="17" fillId="0" borderId="3"/>
    <xf numFmtId="164" fontId="17" fillId="0" borderId="3"/>
    <xf numFmtId="164" fontId="18" fillId="0" borderId="4"/>
    <xf numFmtId="164" fontId="18" fillId="0" borderId="4"/>
    <xf numFmtId="164" fontId="20" fillId="7" borderId="1"/>
    <xf numFmtId="164" fontId="20" fillId="7" borderId="1"/>
    <xf numFmtId="164" fontId="7" fillId="23" borderId="7"/>
    <xf numFmtId="164" fontId="23" fillId="20" borderId="8"/>
    <xf numFmtId="164" fontId="23" fillId="20" borderId="8"/>
    <xf numFmtId="164" fontId="1" fillId="0" borderId="9"/>
    <xf numFmtId="164" fontId="1" fillId="0" borderId="9"/>
    <xf numFmtId="44" fontId="27" fillId="0" borderId="0"/>
    <xf numFmtId="164" fontId="7" fillId="23" borderId="7"/>
    <xf numFmtId="164" fontId="7" fillId="23" borderId="7"/>
    <xf numFmtId="164" fontId="23" fillId="20" borderId="8"/>
    <xf numFmtId="164" fontId="23" fillId="20" borderId="8"/>
    <xf numFmtId="164" fontId="1" fillId="0" borderId="9"/>
    <xf numFmtId="164" fontId="1" fillId="0" borderId="9"/>
    <xf numFmtId="164" fontId="7" fillId="0" borderId="0"/>
    <xf numFmtId="164" fontId="7" fillId="0" borderId="0"/>
    <xf numFmtId="164" fontId="7" fillId="23" borderId="7"/>
    <xf numFmtId="164" fontId="13" fillId="20" borderId="1"/>
    <xf numFmtId="164" fontId="13" fillId="20" borderId="1"/>
    <xf numFmtId="164" fontId="20" fillId="7" borderId="1"/>
    <xf numFmtId="164" fontId="20" fillId="7" borderId="1"/>
    <xf numFmtId="164" fontId="7" fillId="23" borderId="7"/>
    <xf numFmtId="164" fontId="23" fillId="20" borderId="8"/>
    <xf numFmtId="164" fontId="23" fillId="20" borderId="8"/>
    <xf numFmtId="164" fontId="1" fillId="0" borderId="9"/>
    <xf numFmtId="164" fontId="1" fillId="0" borderId="9"/>
    <xf numFmtId="164" fontId="7" fillId="23" borderId="7"/>
    <xf numFmtId="164" fontId="13" fillId="20" borderId="1"/>
    <xf numFmtId="164" fontId="13" fillId="20" borderId="1"/>
    <xf numFmtId="164" fontId="20" fillId="7" borderId="1"/>
    <xf numFmtId="164" fontId="7" fillId="23" borderId="7"/>
    <xf numFmtId="164" fontId="1" fillId="0" borderId="9"/>
    <xf numFmtId="164" fontId="1" fillId="0" borderId="9"/>
    <xf numFmtId="164" fontId="23" fillId="20" borderId="8"/>
    <xf numFmtId="164" fontId="23" fillId="20" borderId="8"/>
    <xf numFmtId="164" fontId="20" fillId="7" borderId="1"/>
    <xf numFmtId="164" fontId="7" fillId="0" borderId="0"/>
    <xf numFmtId="164" fontId="27" fillId="0" borderId="0"/>
    <xf numFmtId="164" fontId="27" fillId="0" borderId="0"/>
    <xf numFmtId="164" fontId="20" fillId="7" borderId="1"/>
    <xf numFmtId="164" fontId="20" fillId="7" borderId="1"/>
    <xf numFmtId="164" fontId="7" fillId="23" borderId="7"/>
    <xf numFmtId="164" fontId="7" fillId="23" borderId="7"/>
    <xf numFmtId="164" fontId="23" fillId="20" borderId="8"/>
    <xf numFmtId="164" fontId="1" fillId="0" borderId="9"/>
    <xf numFmtId="164" fontId="1" fillId="0" borderId="9"/>
    <xf numFmtId="164" fontId="23" fillId="20" borderId="8"/>
    <xf numFmtId="164" fontId="13" fillId="20" borderId="1"/>
    <xf numFmtId="164" fontId="13" fillId="20" borderId="1"/>
    <xf numFmtId="164" fontId="44" fillId="0" borderId="0"/>
    <xf numFmtId="164" fontId="45" fillId="0" borderId="0" applyAlignment="1" applyProtection="1">
      <alignment vertical="top"/>
      <protection locked="0" hidden="0"/>
    </xf>
    <xf numFmtId="164" fontId="27" fillId="0" borderId="0"/>
    <xf numFmtId="164" fontId="27" fillId="0" borderId="0"/>
    <xf numFmtId="164" fontId="7" fillId="0" borderId="0"/>
    <xf numFmtId="44" fontId="5" fillId="0" borderId="0"/>
    <xf numFmtId="164" fontId="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44" fontId="27" fillId="0" borderId="0"/>
    <xf numFmtId="164" fontId="27" fillId="31" borderId="29"/>
    <xf numFmtId="164" fontId="27" fillId="33" borderId="0"/>
    <xf numFmtId="164" fontId="27" fillId="34" borderId="0"/>
    <xf numFmtId="164" fontId="27" fillId="37" borderId="0"/>
    <xf numFmtId="164" fontId="27" fillId="38" borderId="0"/>
    <xf numFmtId="164" fontId="27" fillId="41" borderId="0"/>
    <xf numFmtId="164" fontId="27" fillId="42" borderId="0"/>
    <xf numFmtId="164" fontId="27" fillId="45" borderId="0"/>
    <xf numFmtId="164" fontId="27" fillId="46" borderId="0"/>
    <xf numFmtId="164" fontId="27" fillId="49" borderId="0"/>
    <xf numFmtId="164" fontId="27" fillId="50" borderId="0"/>
    <xf numFmtId="164" fontId="27" fillId="53" borderId="0"/>
    <xf numFmtId="164" fontId="27" fillId="54" borderId="0"/>
    <xf numFmtId="4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7" fillId="0" borderId="0"/>
    <xf numFmtId="164" fontId="27" fillId="0" borderId="0"/>
    <xf numFmtId="44" fontId="27" fillId="0" borderId="0"/>
    <xf numFmtId="164" fontId="41" fillId="48" borderId="0"/>
    <xf numFmtId="44" fontId="7" fillId="0" borderId="0"/>
    <xf numFmtId="164" fontId="27" fillId="0" borderId="0"/>
    <xf numFmtId="164" fontId="27" fillId="0" borderId="0"/>
    <xf numFmtId="44" fontId="27" fillId="0" borderId="0"/>
    <xf numFmtId="164" fontId="27" fillId="0" borderId="0"/>
    <xf numFmtId="164" fontId="27" fillId="0" borderId="0"/>
    <xf numFmtId="44" fontId="27" fillId="0" borderId="0"/>
    <xf numFmtId="164" fontId="27" fillId="0" borderId="0"/>
    <xf numFmtId="44" fontId="27" fillId="0" borderId="0"/>
    <xf numFmtId="164" fontId="27" fillId="0" borderId="0"/>
    <xf numFmtId="44" fontId="27" fillId="0" borderId="0"/>
    <xf numFmtId="164" fontId="27" fillId="0" borderId="0"/>
    <xf numFmtId="44" fontId="27" fillId="0" borderId="0"/>
    <xf numFmtId="164" fontId="27" fillId="0" borderId="0"/>
    <xf numFmtId="44" fontId="27" fillId="0" borderId="0"/>
    <xf numFmtId="164" fontId="27" fillId="0" borderId="0"/>
    <xf numFmtId="164" fontId="27" fillId="0" borderId="0"/>
    <xf numFmtId="44" fontId="27" fillId="0" borderId="0"/>
    <xf numFmtId="164" fontId="27" fillId="0" borderId="0"/>
    <xf numFmtId="44" fontId="27" fillId="0" borderId="0"/>
    <xf numFmtId="164" fontId="27" fillId="0" borderId="0"/>
    <xf numFmtId="164" fontId="27" fillId="0" borderId="0"/>
    <xf numFmtId="44" fontId="27" fillId="0" borderId="0"/>
    <xf numFmtId="164" fontId="27" fillId="0" borderId="0"/>
    <xf numFmtId="164" fontId="27" fillId="0" borderId="0"/>
    <xf numFmtId="44" fontId="27" fillId="0" borderId="0"/>
    <xf numFmtId="164" fontId="27" fillId="0" borderId="0"/>
    <xf numFmtId="44" fontId="27" fillId="0" borderId="0"/>
    <xf numFmtId="164" fontId="27" fillId="0" borderId="0"/>
    <xf numFmtId="44" fontId="27" fillId="0" borderId="0"/>
    <xf numFmtId="164" fontId="27" fillId="0" borderId="0"/>
    <xf numFmtId="44" fontId="27" fillId="0" borderId="0"/>
    <xf numFmtId="164" fontId="27" fillId="0" borderId="0"/>
    <xf numFmtId="44" fontId="27" fillId="0" borderId="0"/>
    <xf numFmtId="164" fontId="27" fillId="0" borderId="0"/>
    <xf numFmtId="44" fontId="27" fillId="0" borderId="0"/>
    <xf numFmtId="164" fontId="27" fillId="0" borderId="0"/>
    <xf numFmtId="44" fontId="27" fillId="0" borderId="0"/>
    <xf numFmtId="164" fontId="27" fillId="0" borderId="0"/>
    <xf numFmtId="164" fontId="46" fillId="0" borderId="0" applyAlignment="1">
      <alignment vertical="center"/>
    </xf>
    <xf numFmtId="164" fontId="27" fillId="0" borderId="0"/>
    <xf numFmtId="164" fontId="7" fillId="0" borderId="0"/>
    <xf numFmtId="164" fontId="27" fillId="0" borderId="0"/>
    <xf numFmtId="44" fontId="27" fillId="0" borderId="0"/>
    <xf numFmtId="164" fontId="27" fillId="0" borderId="0"/>
    <xf numFmtId="164" fontId="7" fillId="0" borderId="0"/>
    <xf numFmtId="164" fontId="27" fillId="0" borderId="0"/>
    <xf numFmtId="44" fontId="27" fillId="0" borderId="0"/>
    <xf numFmtId="164" fontId="27" fillId="0" borderId="0"/>
    <xf numFmtId="164" fontId="27" fillId="0" borderId="0"/>
    <xf numFmtId="44" fontId="27" fillId="0" borderId="0"/>
    <xf numFmtId="164" fontId="27" fillId="0" borderId="0"/>
    <xf numFmtId="44" fontId="27" fillId="0" borderId="0"/>
    <xf numFmtId="164" fontId="27" fillId="0" borderId="0"/>
    <xf numFmtId="44" fontId="27" fillId="0" borderId="0"/>
    <xf numFmtId="164" fontId="27" fillId="0" borderId="0"/>
    <xf numFmtId="44" fontId="27" fillId="0" borderId="0"/>
    <xf numFmtId="164" fontId="27" fillId="0" borderId="0"/>
    <xf numFmtId="44" fontId="27" fillId="0" borderId="0"/>
    <xf numFmtId="164" fontId="27" fillId="0" borderId="0"/>
    <xf numFmtId="44" fontId="27" fillId="0" borderId="0"/>
    <xf numFmtId="164" fontId="27" fillId="0" borderId="0"/>
    <xf numFmtId="44" fontId="27" fillId="0" borderId="0"/>
    <xf numFmtId="164" fontId="27" fillId="0" borderId="0"/>
    <xf numFmtId="44" fontId="27" fillId="0" borderId="0"/>
    <xf numFmtId="164" fontId="27" fillId="0" borderId="0"/>
    <xf numFmtId="164" fontId="27" fillId="0" borderId="0"/>
    <xf numFmtId="44" fontId="27" fillId="0" borderId="0"/>
    <xf numFmtId="164" fontId="27" fillId="0" borderId="0"/>
    <xf numFmtId="164" fontId="27" fillId="0" borderId="0"/>
    <xf numFmtId="44" fontId="27" fillId="0" borderId="0"/>
    <xf numFmtId="164" fontId="27" fillId="0" borderId="0"/>
    <xf numFmtId="44" fontId="27" fillId="0" borderId="0"/>
    <xf numFmtId="164" fontId="27" fillId="0" borderId="0"/>
    <xf numFmtId="44" fontId="27" fillId="0" borderId="0"/>
    <xf numFmtId="164" fontId="27" fillId="0" borderId="0"/>
    <xf numFmtId="44" fontId="27" fillId="0" borderId="0"/>
    <xf numFmtId="164" fontId="27" fillId="0" borderId="0"/>
    <xf numFmtId="44" fontId="27" fillId="0" borderId="0"/>
    <xf numFmtId="164" fontId="27" fillId="0" borderId="0"/>
    <xf numFmtId="44" fontId="27" fillId="0" borderId="0"/>
    <xf numFmtId="164" fontId="27" fillId="0" borderId="0"/>
    <xf numFmtId="44" fontId="27" fillId="0" borderId="0"/>
    <xf numFmtId="164" fontId="27" fillId="0" borderId="0"/>
    <xf numFmtId="164" fontId="27" fillId="0" borderId="0"/>
    <xf numFmtId="44" fontId="27" fillId="0" borderId="0"/>
    <xf numFmtId="164" fontId="27" fillId="31" borderId="29"/>
    <xf numFmtId="164" fontId="27" fillId="33" borderId="0"/>
    <xf numFmtId="164" fontId="27" fillId="34" borderId="0"/>
    <xf numFmtId="164" fontId="27" fillId="37" borderId="0"/>
    <xf numFmtId="164" fontId="27" fillId="38" borderId="0"/>
    <xf numFmtId="164" fontId="27" fillId="41" borderId="0"/>
    <xf numFmtId="164" fontId="27" fillId="42" borderId="0"/>
    <xf numFmtId="164" fontId="27" fillId="45" borderId="0"/>
    <xf numFmtId="164" fontId="27" fillId="46" borderId="0"/>
    <xf numFmtId="164" fontId="27" fillId="49" borderId="0"/>
    <xf numFmtId="164" fontId="27" fillId="50" borderId="0"/>
    <xf numFmtId="164" fontId="27" fillId="53" borderId="0"/>
    <xf numFmtId="164" fontId="27" fillId="54" borderId="0"/>
    <xf numFmtId="4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13" fillId="20" borderId="1"/>
    <xf numFmtId="164" fontId="13" fillId="20" borderId="1"/>
    <xf numFmtId="164" fontId="20" fillId="7" borderId="1"/>
    <xf numFmtId="164" fontId="20" fillId="7" borderId="1"/>
    <xf numFmtId="164" fontId="7" fillId="23" borderId="7"/>
    <xf numFmtId="164" fontId="7" fillId="23" borderId="7"/>
    <xf numFmtId="164" fontId="23" fillId="20" borderId="8"/>
    <xf numFmtId="164" fontId="23" fillId="20" borderId="8"/>
    <xf numFmtId="164" fontId="1" fillId="0" borderId="9"/>
    <xf numFmtId="164" fontId="1" fillId="0" borderId="9"/>
    <xf numFmtId="164" fontId="20" fillId="7" borderId="1"/>
    <xf numFmtId="164" fontId="20" fillId="7" borderId="1"/>
    <xf numFmtId="164" fontId="13" fillId="20" borderId="1"/>
    <xf numFmtId="164" fontId="13" fillId="20" borderId="1"/>
    <xf numFmtId="164" fontId="7" fillId="23" borderId="7"/>
    <xf numFmtId="164" fontId="7" fillId="23" borderId="7"/>
    <xf numFmtId="164" fontId="23" fillId="20" borderId="8"/>
    <xf numFmtId="164" fontId="23" fillId="20" borderId="8"/>
    <xf numFmtId="164" fontId="1" fillId="0" borderId="9"/>
    <xf numFmtId="164" fontId="1" fillId="0" borderId="9"/>
    <xf numFmtId="164" fontId="7" fillId="23" borderId="7"/>
    <xf numFmtId="164" fontId="13" fillId="20" borderId="1"/>
    <xf numFmtId="164" fontId="13" fillId="20" borderId="1"/>
    <xf numFmtId="164" fontId="20" fillId="7" borderId="1"/>
    <xf numFmtId="164" fontId="20" fillId="7" borderId="1"/>
    <xf numFmtId="164" fontId="7" fillId="23" borderId="7"/>
    <xf numFmtId="164" fontId="23" fillId="20" borderId="8"/>
    <xf numFmtId="164" fontId="23" fillId="20" borderId="8"/>
    <xf numFmtId="164" fontId="1" fillId="0" borderId="9"/>
    <xf numFmtId="164" fontId="1" fillId="0" borderId="9"/>
    <xf numFmtId="164" fontId="7" fillId="23" borderId="7"/>
    <xf numFmtId="164" fontId="13" fillId="20" borderId="1"/>
    <xf numFmtId="164" fontId="13" fillId="20" borderId="1"/>
    <xf numFmtId="164" fontId="20" fillId="7" borderId="1"/>
    <xf numFmtId="164" fontId="7" fillId="23" borderId="7"/>
    <xf numFmtId="164" fontId="1" fillId="0" borderId="9"/>
    <xf numFmtId="164" fontId="1" fillId="0" borderId="9"/>
    <xf numFmtId="164" fontId="23" fillId="20" borderId="8"/>
    <xf numFmtId="164" fontId="23" fillId="20" borderId="8"/>
    <xf numFmtId="164" fontId="20" fillId="7" borderId="1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27" fillId="0" borderId="0"/>
    <xf numFmtId="164" fontId="27" fillId="31" borderId="29"/>
    <xf numFmtId="164" fontId="27" fillId="33" borderId="0"/>
    <xf numFmtId="164" fontId="27" fillId="34" borderId="0"/>
    <xf numFmtId="164" fontId="27" fillId="37" borderId="0"/>
    <xf numFmtId="164" fontId="27" fillId="38" borderId="0"/>
    <xf numFmtId="164" fontId="27" fillId="41" borderId="0"/>
    <xf numFmtId="164" fontId="27" fillId="42" borderId="0"/>
    <xf numFmtId="164" fontId="27" fillId="45" borderId="0"/>
    <xf numFmtId="164" fontId="27" fillId="46" borderId="0"/>
    <xf numFmtId="164" fontId="27" fillId="49" borderId="0"/>
    <xf numFmtId="164" fontId="27" fillId="50" borderId="0"/>
    <xf numFmtId="164" fontId="27" fillId="53" borderId="0"/>
    <xf numFmtId="164" fontId="27" fillId="54" borderId="0"/>
    <xf numFmtId="0" fontId="27" fillId="0" borderId="0"/>
    <xf numFmtId="0" fontId="5" fillId="2" borderId="0"/>
    <xf numFmtId="0" fontId="5" fillId="2" borderId="0"/>
    <xf numFmtId="0" fontId="5" fillId="3" borderId="0"/>
    <xf numFmtId="0" fontId="5" fillId="3" borderId="0"/>
    <xf numFmtId="0" fontId="5" fillId="4" borderId="0"/>
    <xf numFmtId="0" fontId="5" fillId="4" borderId="0"/>
    <xf numFmtId="0" fontId="5" fillId="5" borderId="0"/>
    <xf numFmtId="0" fontId="5" fillId="5" borderId="0"/>
    <xf numFmtId="0" fontId="5" fillId="6" borderId="0"/>
    <xf numFmtId="0" fontId="5" fillId="6" borderId="0"/>
    <xf numFmtId="0" fontId="5" fillId="7" borderId="0"/>
    <xf numFmtId="0" fontId="5" fillId="7" borderId="0"/>
    <xf numFmtId="0" fontId="5" fillId="8" borderId="0"/>
    <xf numFmtId="0" fontId="5" fillId="8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5" borderId="0"/>
    <xf numFmtId="0" fontId="5" fillId="5" borderId="0"/>
    <xf numFmtId="0" fontId="5" fillId="8" borderId="0"/>
    <xf numFmtId="0" fontId="5" fillId="8" borderId="0"/>
    <xf numFmtId="0" fontId="5" fillId="11" borderId="0"/>
    <xf numFmtId="0" fontId="5" fillId="11" borderId="0"/>
    <xf numFmtId="0" fontId="11" fillId="12" borderId="0"/>
    <xf numFmtId="0" fontId="11" fillId="12" borderId="0"/>
    <xf numFmtId="0" fontId="11" fillId="9" borderId="0"/>
    <xf numFmtId="0" fontId="11" fillId="9" borderId="0"/>
    <xf numFmtId="0" fontId="11" fillId="10" borderId="0"/>
    <xf numFmtId="0" fontId="11" fillId="10" borderId="0"/>
    <xf numFmtId="0" fontId="11" fillId="13" borderId="0"/>
    <xf numFmtId="0" fontId="11" fillId="13" borderId="0"/>
    <xf numFmtId="0" fontId="11" fillId="14" borderId="0"/>
    <xf numFmtId="0" fontId="11" fillId="14" borderId="0"/>
    <xf numFmtId="0" fontId="11" fillId="15" borderId="0"/>
    <xf numFmtId="0" fontId="11" fillId="15" borderId="0"/>
    <xf numFmtId="0" fontId="11" fillId="16" borderId="0"/>
    <xf numFmtId="0" fontId="11" fillId="16" borderId="0"/>
    <xf numFmtId="0" fontId="11" fillId="17" borderId="0"/>
    <xf numFmtId="0" fontId="11" fillId="17" borderId="0"/>
    <xf numFmtId="0" fontId="11" fillId="18" borderId="0"/>
    <xf numFmtId="0" fontId="11" fillId="18" borderId="0"/>
    <xf numFmtId="0" fontId="11" fillId="13" borderId="0"/>
    <xf numFmtId="0" fontId="11" fillId="13" borderId="0"/>
    <xf numFmtId="0" fontId="11" fillId="14" borderId="0"/>
    <xf numFmtId="0" fontId="11" fillId="14" borderId="0"/>
    <xf numFmtId="0" fontId="11" fillId="19" borderId="0"/>
    <xf numFmtId="0" fontId="11" fillId="19" borderId="0"/>
    <xf numFmtId="0" fontId="12" fillId="3" borderId="0"/>
    <xf numFmtId="0" fontId="12" fillId="3" borderId="0"/>
    <xf numFmtId="0" fontId="13" fillId="20" borderId="1"/>
    <xf numFmtId="0" fontId="13" fillId="20" borderId="1"/>
    <xf numFmtId="0" fontId="14" fillId="21" borderId="2"/>
    <xf numFmtId="0" fontId="14" fillId="21" borderId="2"/>
    <xf numFmtId="44" fontId="7" fillId="0" borderId="0"/>
    <xf numFmtId="44" fontId="7" fillId="0" borderId="0"/>
    <xf numFmtId="0" fontId="15" fillId="0" borderId="0"/>
    <xf numFmtId="0" fontId="15" fillId="0" borderId="0"/>
    <xf numFmtId="0" fontId="16" fillId="4" borderId="0"/>
    <xf numFmtId="0" fontId="16" fillId="4" borderId="0"/>
    <xf numFmtId="0" fontId="17" fillId="0" borderId="3"/>
    <xf numFmtId="0" fontId="17" fillId="0" borderId="3"/>
    <xf numFmtId="0" fontId="18" fillId="0" borderId="4"/>
    <xf numFmtId="0" fontId="18" fillId="0" borderId="4"/>
    <xf numFmtId="0" fontId="19" fillId="0" borderId="5"/>
    <xf numFmtId="0" fontId="19" fillId="0" borderId="5"/>
    <xf numFmtId="0" fontId="19" fillId="0" borderId="0"/>
    <xf numFmtId="0" fontId="19" fillId="0" borderId="0"/>
    <xf numFmtId="0" fontId="20" fillId="7" borderId="1"/>
    <xf numFmtId="0" fontId="20" fillId="7" borderId="1"/>
    <xf numFmtId="0" fontId="21" fillId="0" borderId="6"/>
    <xf numFmtId="0" fontId="21" fillId="0" borderId="6"/>
    <xf numFmtId="0" fontId="22" fillId="22" borderId="0"/>
    <xf numFmtId="0" fontId="22" fillId="22" borderId="0"/>
    <xf numFmtId="0" fontId="7" fillId="0" borderId="0"/>
    <xf numFmtId="0" fontId="7" fillId="23" borderId="7"/>
    <xf numFmtId="0" fontId="7" fillId="23" borderId="7"/>
    <xf numFmtId="0" fontId="23" fillId="20" borderId="8"/>
    <xf numFmtId="0" fontId="23" fillId="20" borderId="8"/>
    <xf numFmtId="0" fontId="24" fillId="0" borderId="0"/>
    <xf numFmtId="0" fontId="24" fillId="0" borderId="0"/>
    <xf numFmtId="0" fontId="1" fillId="0" borderId="9"/>
    <xf numFmtId="0" fontId="1" fillId="0" borderId="9"/>
    <xf numFmtId="0" fontId="25" fillId="0" borderId="0"/>
    <xf numFmtId="0" fontId="25" fillId="0" borderId="0"/>
    <xf numFmtId="0" fontId="46" fillId="0" borderId="0" applyAlignment="1">
      <alignment vertical="center"/>
    </xf>
    <xf numFmtId="0" fontId="27" fillId="0" borderId="0"/>
    <xf numFmtId="0" fontId="42" fillId="0" borderId="0"/>
    <xf numFmtId="0" fontId="43" fillId="27" borderId="0"/>
    <xf numFmtId="0" fontId="41" fillId="35" borderId="0"/>
    <xf numFmtId="0" fontId="41" fillId="39" borderId="0"/>
    <xf numFmtId="0" fontId="41" fillId="43" borderId="0"/>
    <xf numFmtId="0" fontId="41" fillId="47" borderId="0"/>
    <xf numFmtId="0" fontId="41" fillId="51" borderId="0"/>
    <xf numFmtId="0" fontId="41" fillId="55" borderId="0"/>
    <xf numFmtId="0" fontId="7" fillId="0" borderId="0"/>
    <xf numFmtId="0" fontId="7" fillId="0" borderId="0"/>
    <xf numFmtId="0" fontId="26" fillId="0" borderId="0" applyAlignment="1" applyProtection="1">
      <alignment vertical="top"/>
      <protection locked="0" hidden="0"/>
    </xf>
    <xf numFmtId="0" fontId="27" fillId="0" borderId="0"/>
    <xf numFmtId="0" fontId="7" fillId="0" borderId="0"/>
    <xf numFmtId="0" fontId="7" fillId="0" borderId="0"/>
    <xf numFmtId="0" fontId="7" fillId="23" borderId="7"/>
    <xf numFmtId="0" fontId="20" fillId="7" borderId="1"/>
    <xf numFmtId="0" fontId="20" fillId="7" borderId="1"/>
    <xf numFmtId="0" fontId="13" fillId="20" borderId="1"/>
    <xf numFmtId="0" fontId="13" fillId="20" borderId="1"/>
    <xf numFmtId="0" fontId="13" fillId="20" borderId="1"/>
    <xf numFmtId="0" fontId="13" fillId="20" borderId="1"/>
    <xf numFmtId="0" fontId="17" fillId="0" borderId="3"/>
    <xf numFmtId="0" fontId="17" fillId="0" borderId="3"/>
    <xf numFmtId="0" fontId="18" fillId="0" borderId="4"/>
    <xf numFmtId="0" fontId="18" fillId="0" borderId="4"/>
    <xf numFmtId="0" fontId="20" fillId="7" borderId="1"/>
    <xf numFmtId="0" fontId="20" fillId="7" borderId="1"/>
    <xf numFmtId="0" fontId="7" fillId="23" borderId="7"/>
    <xf numFmtId="0" fontId="23" fillId="20" borderId="8"/>
    <xf numFmtId="0" fontId="23" fillId="20" borderId="8"/>
    <xf numFmtId="0" fontId="1" fillId="0" borderId="9"/>
    <xf numFmtId="0" fontId="1" fillId="0" borderId="9"/>
    <xf numFmtId="0" fontId="7" fillId="23" borderId="7"/>
    <xf numFmtId="0" fontId="7" fillId="23" borderId="7"/>
    <xf numFmtId="0" fontId="23" fillId="20" borderId="8"/>
    <xf numFmtId="0" fontId="23" fillId="20" borderId="8"/>
    <xf numFmtId="0" fontId="1" fillId="0" borderId="9"/>
    <xf numFmtId="0" fontId="1" fillId="0" borderId="9"/>
    <xf numFmtId="0" fontId="7" fillId="0" borderId="0"/>
    <xf numFmtId="0" fontId="7" fillId="0" borderId="0"/>
    <xf numFmtId="0" fontId="7" fillId="23" borderId="7"/>
    <xf numFmtId="0" fontId="13" fillId="20" borderId="1"/>
    <xf numFmtId="0" fontId="13" fillId="20" borderId="1"/>
    <xf numFmtId="0" fontId="20" fillId="7" borderId="1"/>
    <xf numFmtId="0" fontId="20" fillId="7" borderId="1"/>
    <xf numFmtId="0" fontId="7" fillId="23" borderId="7"/>
    <xf numFmtId="0" fontId="23" fillId="20" borderId="8"/>
    <xf numFmtId="0" fontId="23" fillId="20" borderId="8"/>
    <xf numFmtId="0" fontId="1" fillId="0" borderId="9"/>
    <xf numFmtId="0" fontId="1" fillId="0" borderId="9"/>
    <xf numFmtId="0" fontId="7" fillId="23" borderId="7"/>
    <xf numFmtId="0" fontId="13" fillId="20" borderId="1"/>
    <xf numFmtId="0" fontId="13" fillId="20" borderId="1"/>
    <xf numFmtId="0" fontId="20" fillId="7" borderId="1"/>
    <xf numFmtId="0" fontId="7" fillId="23" borderId="7"/>
    <xf numFmtId="0" fontId="1" fillId="0" borderId="9"/>
    <xf numFmtId="0" fontId="1" fillId="0" borderId="9"/>
    <xf numFmtId="0" fontId="23" fillId="20" borderId="8"/>
    <xf numFmtId="0" fontId="23" fillId="20" borderId="8"/>
    <xf numFmtId="0" fontId="20" fillId="7" borderId="1"/>
    <xf numFmtId="0" fontId="7" fillId="0" borderId="0"/>
    <xf numFmtId="0" fontId="27" fillId="0" borderId="0"/>
    <xf numFmtId="0" fontId="27" fillId="0" borderId="0"/>
    <xf numFmtId="0" fontId="20" fillId="7" borderId="1"/>
    <xf numFmtId="0" fontId="20" fillId="7" borderId="1"/>
    <xf numFmtId="0" fontId="7" fillId="23" borderId="7"/>
    <xf numFmtId="0" fontId="7" fillId="23" borderId="7"/>
    <xf numFmtId="0" fontId="23" fillId="20" borderId="8"/>
    <xf numFmtId="0" fontId="1" fillId="0" borderId="9"/>
    <xf numFmtId="0" fontId="1" fillId="0" borderId="9"/>
    <xf numFmtId="0" fontId="23" fillId="20" borderId="8"/>
    <xf numFmtId="0" fontId="13" fillId="20" borderId="1"/>
    <xf numFmtId="0" fontId="13" fillId="20" borderId="1"/>
    <xf numFmtId="0" fontId="44" fillId="0" borderId="0"/>
    <xf numFmtId="0" fontId="45" fillId="0" borderId="0" applyAlignment="1" applyProtection="1">
      <alignment vertical="top"/>
      <protection locked="0" hidden="0"/>
    </xf>
    <xf numFmtId="0" fontId="27" fillId="0" borderId="0"/>
    <xf numFmtId="0" fontId="27" fillId="0" borderId="0"/>
    <xf numFmtId="0" fontId="7" fillId="0" borderId="0"/>
    <xf numFmtId="164" fontId="7" fillId="0" borderId="0"/>
    <xf numFmtId="0" fontId="13" fillId="20" borderId="1"/>
    <xf numFmtId="0" fontId="13" fillId="20" borderId="1"/>
    <xf numFmtId="0" fontId="20" fillId="7" borderId="1"/>
    <xf numFmtId="0" fontId="20" fillId="7" borderId="1"/>
    <xf numFmtId="0" fontId="7" fillId="23" borderId="7"/>
    <xf numFmtId="0" fontId="7" fillId="23" borderId="7"/>
    <xf numFmtId="0" fontId="23" fillId="20" borderId="8"/>
    <xf numFmtId="0" fontId="23" fillId="20" borderId="8"/>
    <xf numFmtId="0" fontId="1" fillId="0" borderId="9"/>
    <xf numFmtId="0" fontId="1" fillId="0" borderId="9"/>
    <xf numFmtId="0" fontId="20" fillId="7" borderId="1"/>
    <xf numFmtId="0" fontId="20" fillId="7" borderId="1"/>
    <xf numFmtId="0" fontId="13" fillId="20" borderId="1"/>
    <xf numFmtId="0" fontId="13" fillId="20" borderId="1"/>
    <xf numFmtId="0" fontId="7" fillId="23" borderId="7"/>
    <xf numFmtId="0" fontId="7" fillId="23" borderId="7"/>
    <xf numFmtId="0" fontId="23" fillId="20" borderId="8"/>
    <xf numFmtId="0" fontId="23" fillId="20" borderId="8"/>
    <xf numFmtId="0" fontId="1" fillId="0" borderId="9"/>
    <xf numFmtId="0" fontId="1" fillId="0" borderId="9"/>
    <xf numFmtId="0" fontId="7" fillId="23" borderId="7"/>
    <xf numFmtId="0" fontId="13" fillId="20" borderId="1"/>
    <xf numFmtId="0" fontId="13" fillId="20" borderId="1"/>
    <xf numFmtId="0" fontId="20" fillId="7" borderId="1"/>
    <xf numFmtId="0" fontId="20" fillId="7" borderId="1"/>
    <xf numFmtId="0" fontId="7" fillId="23" borderId="7"/>
    <xf numFmtId="0" fontId="23" fillId="20" borderId="8"/>
    <xf numFmtId="0" fontId="23" fillId="20" borderId="8"/>
    <xf numFmtId="0" fontId="1" fillId="0" borderId="9"/>
    <xf numFmtId="0" fontId="1" fillId="0" borderId="9"/>
    <xf numFmtId="0" fontId="7" fillId="23" borderId="7"/>
    <xf numFmtId="0" fontId="13" fillId="20" borderId="1"/>
    <xf numFmtId="0" fontId="13" fillId="20" borderId="1"/>
    <xf numFmtId="0" fontId="20" fillId="7" borderId="1"/>
    <xf numFmtId="0" fontId="7" fillId="23" borderId="7"/>
    <xf numFmtId="0" fontId="1" fillId="0" borderId="9"/>
    <xf numFmtId="0" fontId="1" fillId="0" borderId="9"/>
    <xf numFmtId="0" fontId="23" fillId="20" borderId="8"/>
    <xf numFmtId="0" fontId="23" fillId="20" borderId="8"/>
    <xf numFmtId="0" fontId="20" fillId="7" borderId="1"/>
    <xf numFmtId="164" fontId="7" fillId="0" borderId="0"/>
    <xf numFmtId="164" fontId="7" fillId="0" borderId="0"/>
    <xf numFmtId="164" fontId="7" fillId="23" borderId="7"/>
    <xf numFmtId="164" fontId="7" fillId="23" borderId="7"/>
    <xf numFmtId="44" fontId="7" fillId="0" borderId="0"/>
    <xf numFmtId="164" fontId="27" fillId="0" borderId="0"/>
    <xf numFmtId="164" fontId="27" fillId="0" borderId="0"/>
    <xf numFmtId="0" fontId="27" fillId="0" borderId="0"/>
    <xf numFmtId="0" fontId="27" fillId="0" borderId="0"/>
    <xf numFmtId="0" fontId="27" fillId="0" borderId="0"/>
    <xf numFmtId="164" fontId="27" fillId="0" borderId="0"/>
    <xf numFmtId="164" fontId="7" fillId="23" borderId="7"/>
    <xf numFmtId="164" fontId="7" fillId="23" borderId="7"/>
    <xf numFmtId="164" fontId="7" fillId="23" borderId="7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23" borderId="7"/>
    <xf numFmtId="164" fontId="7" fillId="23" borderId="7"/>
    <xf numFmtId="164" fontId="7" fillId="23" borderId="7"/>
    <xf numFmtId="164" fontId="7" fillId="23" borderId="7"/>
    <xf numFmtId="164" fontId="7" fillId="0" borderId="0"/>
    <xf numFmtId="164" fontId="7" fillId="0" borderId="0"/>
    <xf numFmtId="164" fontId="7" fillId="23" borderId="7"/>
    <xf numFmtId="164" fontId="7" fillId="23" borderId="7"/>
    <xf numFmtId="164" fontId="7" fillId="23" borderId="7"/>
    <xf numFmtId="164" fontId="7" fillId="23" borderId="7"/>
    <xf numFmtId="164" fontId="7" fillId="0" borderId="0"/>
    <xf numFmtId="164" fontId="7" fillId="23" borderId="7"/>
    <xf numFmtId="164" fontId="7" fillId="23" borderId="7"/>
    <xf numFmtId="164" fontId="7" fillId="0" borderId="0"/>
    <xf numFmtId="44" fontId="7" fillId="0" borderId="0"/>
    <xf numFmtId="164" fontId="7" fillId="0" borderId="0"/>
    <xf numFmtId="164" fontId="7" fillId="0" borderId="0"/>
    <xf numFmtId="164" fontId="7" fillId="23" borderId="7"/>
    <xf numFmtId="164" fontId="7" fillId="23" borderId="7"/>
    <xf numFmtId="164" fontId="7" fillId="23" borderId="7"/>
    <xf numFmtId="164" fontId="7" fillId="23" borderId="7"/>
    <xf numFmtId="164" fontId="7" fillId="23" borderId="7"/>
    <xf numFmtId="164" fontId="7" fillId="23" borderId="7"/>
    <xf numFmtId="164" fontId="7" fillId="23" borderId="7"/>
    <xf numFmtId="164" fontId="7" fillId="23" borderId="7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2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26" fillId="0" borderId="0" applyAlignment="1" applyProtection="1">
      <alignment vertical="top"/>
      <protection locked="0" hidden="0"/>
    </xf>
    <xf numFmtId="0" fontId="7" fillId="0" borderId="0"/>
    <xf numFmtId="0" fontId="41" fillId="48" borderId="0"/>
    <xf numFmtId="0" fontId="11" fillId="14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7" fillId="0" borderId="0"/>
    <xf numFmtId="164" fontId="27" fillId="0" borderId="0"/>
    <xf numFmtId="0" fontId="42" fillId="0" borderId="0"/>
    <xf numFmtId="0" fontId="43" fillId="27" borderId="0"/>
    <xf numFmtId="0" fontId="41" fillId="35" borderId="0"/>
    <xf numFmtId="0" fontId="41" fillId="39" borderId="0"/>
    <xf numFmtId="0" fontId="41" fillId="43" borderId="0"/>
    <xf numFmtId="0" fontId="41" fillId="47" borderId="0"/>
    <xf numFmtId="0" fontId="41" fillId="51" borderId="0"/>
    <xf numFmtId="0" fontId="41" fillId="55" borderId="0"/>
    <xf numFmtId="164" fontId="7" fillId="0" borderId="0"/>
    <xf numFmtId="0" fontId="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42" fillId="0" borderId="0"/>
    <xf numFmtId="164" fontId="43" fillId="27" borderId="0"/>
    <xf numFmtId="164" fontId="41" fillId="35" borderId="0"/>
    <xf numFmtId="164" fontId="41" fillId="39" borderId="0"/>
    <xf numFmtId="164" fontId="41" fillId="43" borderId="0"/>
    <xf numFmtId="164" fontId="41" fillId="47" borderId="0"/>
    <xf numFmtId="164" fontId="41" fillId="51" borderId="0"/>
    <xf numFmtId="164" fontId="41" fillId="55" borderId="0"/>
    <xf numFmtId="164" fontId="20" fillId="7" borderId="1"/>
    <xf numFmtId="164" fontId="20" fillId="7" borderId="1"/>
    <xf numFmtId="164" fontId="13" fillId="20" borderId="1"/>
    <xf numFmtId="164" fontId="13" fillId="20" borderId="1"/>
    <xf numFmtId="164" fontId="13" fillId="20" borderId="1"/>
    <xf numFmtId="164" fontId="13" fillId="20" borderId="1"/>
    <xf numFmtId="164" fontId="17" fillId="0" borderId="3"/>
    <xf numFmtId="164" fontId="17" fillId="0" borderId="3"/>
    <xf numFmtId="164" fontId="18" fillId="0" borderId="4"/>
    <xf numFmtId="164" fontId="18" fillId="0" borderId="4"/>
    <xf numFmtId="164" fontId="20" fillId="7" borderId="1"/>
    <xf numFmtId="164" fontId="20" fillId="7" borderId="1"/>
    <xf numFmtId="164" fontId="23" fillId="20" borderId="8"/>
    <xf numFmtId="164" fontId="23" fillId="20" borderId="8"/>
    <xf numFmtId="164" fontId="1" fillId="0" borderId="9"/>
    <xf numFmtId="164" fontId="1" fillId="0" borderId="9"/>
    <xf numFmtId="164" fontId="23" fillId="20" borderId="8"/>
    <xf numFmtId="164" fontId="23" fillId="20" borderId="8"/>
    <xf numFmtId="164" fontId="1" fillId="0" borderId="9"/>
    <xf numFmtId="164" fontId="1" fillId="0" borderId="9"/>
    <xf numFmtId="164" fontId="13" fillId="20" borderId="1"/>
    <xf numFmtId="164" fontId="13" fillId="20" borderId="1"/>
    <xf numFmtId="164" fontId="20" fillId="7" borderId="1"/>
    <xf numFmtId="164" fontId="20" fillId="7" borderId="1"/>
    <xf numFmtId="164" fontId="23" fillId="20" borderId="8"/>
    <xf numFmtId="164" fontId="23" fillId="20" borderId="8"/>
    <xf numFmtId="164" fontId="1" fillId="0" borderId="9"/>
    <xf numFmtId="164" fontId="1" fillId="0" borderId="9"/>
    <xf numFmtId="164" fontId="13" fillId="20" borderId="1"/>
    <xf numFmtId="164" fontId="13" fillId="20" borderId="1"/>
    <xf numFmtId="164" fontId="20" fillId="7" borderId="1"/>
    <xf numFmtId="164" fontId="1" fillId="0" borderId="9"/>
    <xf numFmtId="164" fontId="1" fillId="0" borderId="9"/>
    <xf numFmtId="164" fontId="23" fillId="20" borderId="8"/>
    <xf numFmtId="164" fontId="23" fillId="20" borderId="8"/>
    <xf numFmtId="164" fontId="20" fillId="7" borderId="1"/>
    <xf numFmtId="164" fontId="27" fillId="0" borderId="0"/>
    <xf numFmtId="164" fontId="27" fillId="0" borderId="0"/>
    <xf numFmtId="164" fontId="20" fillId="7" borderId="1"/>
    <xf numFmtId="164" fontId="20" fillId="7" borderId="1"/>
    <xf numFmtId="164" fontId="23" fillId="20" borderId="8"/>
    <xf numFmtId="164" fontId="1" fillId="0" borderId="9"/>
    <xf numFmtId="164" fontId="1" fillId="0" borderId="9"/>
    <xf numFmtId="164" fontId="23" fillId="20" borderId="8"/>
    <xf numFmtId="164" fontId="13" fillId="20" borderId="1"/>
    <xf numFmtId="164" fontId="13" fillId="20" borderId="1"/>
    <xf numFmtId="164" fontId="44" fillId="0" borderId="0"/>
    <xf numFmtId="164" fontId="45" fillId="0" borderId="0" applyAlignment="1" applyProtection="1">
      <alignment vertical="top"/>
      <protection locked="0" hidden="0"/>
    </xf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41" fillId="48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7" fillId="0" borderId="0"/>
    <xf numFmtId="164" fontId="27" fillId="0" borderId="0"/>
    <xf numFmtId="164" fontId="13" fillId="20" borderId="1"/>
    <xf numFmtId="164" fontId="13" fillId="20" borderId="1"/>
    <xf numFmtId="164" fontId="20" fillId="7" borderId="1"/>
    <xf numFmtId="164" fontId="20" fillId="7" borderId="1"/>
    <xf numFmtId="164" fontId="23" fillId="20" borderId="8"/>
    <xf numFmtId="164" fontId="23" fillId="20" borderId="8"/>
    <xf numFmtId="164" fontId="1" fillId="0" borderId="9"/>
    <xf numFmtId="164" fontId="1" fillId="0" borderId="9"/>
    <xf numFmtId="164" fontId="20" fillId="7" borderId="1"/>
    <xf numFmtId="164" fontId="20" fillId="7" borderId="1"/>
    <xf numFmtId="164" fontId="13" fillId="20" borderId="1"/>
    <xf numFmtId="164" fontId="13" fillId="20" borderId="1"/>
    <xf numFmtId="164" fontId="23" fillId="20" borderId="8"/>
    <xf numFmtId="164" fontId="23" fillId="20" borderId="8"/>
    <xf numFmtId="164" fontId="1" fillId="0" borderId="9"/>
    <xf numFmtId="164" fontId="1" fillId="0" borderId="9"/>
    <xf numFmtId="164" fontId="13" fillId="20" borderId="1"/>
    <xf numFmtId="164" fontId="13" fillId="20" borderId="1"/>
    <xf numFmtId="164" fontId="20" fillId="7" borderId="1"/>
    <xf numFmtId="164" fontId="20" fillId="7" borderId="1"/>
    <xf numFmtId="164" fontId="23" fillId="20" borderId="8"/>
    <xf numFmtId="164" fontId="23" fillId="20" borderId="8"/>
    <xf numFmtId="164" fontId="1" fillId="0" borderId="9"/>
    <xf numFmtId="164" fontId="1" fillId="0" borderId="9"/>
    <xf numFmtId="164" fontId="13" fillId="20" borderId="1"/>
    <xf numFmtId="164" fontId="13" fillId="20" borderId="1"/>
    <xf numFmtId="164" fontId="20" fillId="7" borderId="1"/>
    <xf numFmtId="164" fontId="1" fillId="0" borderId="9"/>
    <xf numFmtId="164" fontId="1" fillId="0" borderId="9"/>
    <xf numFmtId="164" fontId="23" fillId="20" borderId="8"/>
    <xf numFmtId="164" fontId="23" fillId="20" borderId="8"/>
    <xf numFmtId="164" fontId="20" fillId="7" borderId="1"/>
    <xf numFmtId="164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44" fontId="27" fillId="0" borderId="0"/>
    <xf numFmtId="0" fontId="47" fillId="0" borderId="0"/>
    <xf numFmtId="0" fontId="27" fillId="0" borderId="0"/>
    <xf numFmtId="0" fontId="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0" fontId="48" fillId="0" borderId="0"/>
    <xf numFmtId="0" fontId="48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44" fontId="27" fillId="0" borderId="0"/>
    <xf numFmtId="44" fontId="27" fillId="0" borderId="0"/>
    <xf numFmtId="44" fontId="27" fillId="0" borderId="0"/>
    <xf numFmtId="0" fontId="42" fillId="0" borderId="0"/>
    <xf numFmtId="0" fontId="43" fillId="27" borderId="0"/>
    <xf numFmtId="0" fontId="41" fillId="35" borderId="0"/>
    <xf numFmtId="0" fontId="41" fillId="39" borderId="0"/>
    <xf numFmtId="0" fontId="41" fillId="43" borderId="0"/>
    <xf numFmtId="0" fontId="41" fillId="47" borderId="0"/>
    <xf numFmtId="0" fontId="41" fillId="51" borderId="0"/>
    <xf numFmtId="0" fontId="41" fillId="55" borderId="0"/>
    <xf numFmtId="0" fontId="7" fillId="0" borderId="0"/>
    <xf numFmtId="164" fontId="27" fillId="0" borderId="0"/>
    <xf numFmtId="0" fontId="41" fillId="51" borderId="0"/>
    <xf numFmtId="164" fontId="27" fillId="0" borderId="0"/>
    <xf numFmtId="0" fontId="42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0" fontId="41" fillId="47" borderId="0"/>
    <xf numFmtId="0" fontId="42" fillId="0" borderId="0"/>
    <xf numFmtId="0" fontId="43" fillId="27" borderId="0"/>
    <xf numFmtId="0" fontId="41" fillId="35" borderId="0"/>
    <xf numFmtId="0" fontId="41" fillId="39" borderId="0"/>
    <xf numFmtId="0" fontId="41" fillId="43" borderId="0"/>
    <xf numFmtId="0" fontId="41" fillId="47" borderId="0"/>
    <xf numFmtId="0" fontId="41" fillId="51" borderId="0"/>
    <xf numFmtId="0" fontId="41" fillId="55" borderId="0"/>
    <xf numFmtId="0" fontId="41" fillId="43" borderId="0"/>
    <xf numFmtId="0" fontId="41" fillId="35" borderId="0"/>
    <xf numFmtId="0" fontId="41" fillId="39" borderId="0"/>
    <xf numFmtId="0" fontId="41" fillId="55" borderId="0"/>
    <xf numFmtId="0" fontId="43" fillId="27" borderId="0"/>
    <xf numFmtId="164" fontId="27" fillId="0" borderId="0"/>
    <xf numFmtId="164" fontId="27" fillId="0" borderId="0"/>
    <xf numFmtId="164" fontId="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44" fontId="27" fillId="0" borderId="0"/>
    <xf numFmtId="0" fontId="7" fillId="0" borderId="0"/>
    <xf numFmtId="164" fontId="26" fillId="0" borderId="0" applyAlignment="1" applyProtection="1">
      <alignment vertical="top"/>
      <protection locked="0" hidden="0"/>
    </xf>
    <xf numFmtId="164" fontId="7" fillId="0" borderId="0"/>
    <xf numFmtId="164" fontId="27" fillId="0" borderId="0"/>
    <xf numFmtId="164" fontId="27" fillId="0" borderId="0"/>
    <xf numFmtId="44" fontId="5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11" fillId="14" borderId="0"/>
    <xf numFmtId="164" fontId="7" fillId="0" borderId="0"/>
    <xf numFmtId="164" fontId="27" fillId="0" borderId="0"/>
    <xf numFmtId="44" fontId="27" fillId="0" borderId="0"/>
    <xf numFmtId="164" fontId="7" fillId="0" borderId="0"/>
    <xf numFmtId="164" fontId="7" fillId="0" borderId="0"/>
    <xf numFmtId="164" fontId="27" fillId="0" borderId="0"/>
    <xf numFmtId="164" fontId="44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44" fontId="27" fillId="0" borderId="0"/>
    <xf numFmtId="164" fontId="27" fillId="0" borderId="0"/>
    <xf numFmtId="164" fontId="27" fillId="0" borderId="0"/>
    <xf numFmtId="44" fontId="27" fillId="0" borderId="0"/>
    <xf numFmtId="44" fontId="27" fillId="0" borderId="0"/>
    <xf numFmtId="44" fontId="27" fillId="0" borderId="0"/>
    <xf numFmtId="44" fontId="27" fillId="0" borderId="0"/>
    <xf numFmtId="44" fontId="27" fillId="0" borderId="0"/>
    <xf numFmtId="44" fontId="27" fillId="0" borderId="0"/>
    <xf numFmtId="164" fontId="27" fillId="0" borderId="0"/>
    <xf numFmtId="44" fontId="27" fillId="0" borderId="0"/>
    <xf numFmtId="44" fontId="27" fillId="0" borderId="0"/>
    <xf numFmtId="44" fontId="27" fillId="0" borderId="0"/>
    <xf numFmtId="44" fontId="27" fillId="0" borderId="0"/>
    <xf numFmtId="44" fontId="27" fillId="0" borderId="0"/>
    <xf numFmtId="44" fontId="27" fillId="0" borderId="0"/>
    <xf numFmtId="44" fontId="27" fillId="0" borderId="0"/>
    <xf numFmtId="44" fontId="27" fillId="0" borderId="0"/>
    <xf numFmtId="164" fontId="27" fillId="0" borderId="0"/>
    <xf numFmtId="44" fontId="27" fillId="0" borderId="0"/>
    <xf numFmtId="0" fontId="28" fillId="0" borderId="22"/>
    <xf numFmtId="0" fontId="29" fillId="0" borderId="23"/>
    <xf numFmtId="0" fontId="30" fillId="0" borderId="24"/>
    <xf numFmtId="0" fontId="30" fillId="0" borderId="0"/>
    <xf numFmtId="0" fontId="31" fillId="25" borderId="0"/>
    <xf numFmtId="0" fontId="32" fillId="26" borderId="0"/>
    <xf numFmtId="0" fontId="33" fillId="28" borderId="25"/>
    <xf numFmtId="0" fontId="34" fillId="29" borderId="26"/>
    <xf numFmtId="0" fontId="35" fillId="29" borderId="25"/>
    <xf numFmtId="0" fontId="36" fillId="0" borderId="27"/>
    <xf numFmtId="0" fontId="37" fillId="30" borderId="28"/>
    <xf numFmtId="0" fontId="38" fillId="0" borderId="0"/>
    <xf numFmtId="0" fontId="27" fillId="31" borderId="29"/>
    <xf numFmtId="0" fontId="39" fillId="0" borderId="0"/>
    <xf numFmtId="0" fontId="40" fillId="0" borderId="30"/>
    <xf numFmtId="0" fontId="41" fillId="32" borderId="0"/>
    <xf numFmtId="0" fontId="27" fillId="33" borderId="0"/>
    <xf numFmtId="0" fontId="27" fillId="34" borderId="0"/>
    <xf numFmtId="0" fontId="41" fillId="36" borderId="0"/>
    <xf numFmtId="0" fontId="27" fillId="37" borderId="0"/>
    <xf numFmtId="0" fontId="27" fillId="38" borderId="0"/>
    <xf numFmtId="0" fontId="41" fillId="40" borderId="0"/>
    <xf numFmtId="0" fontId="27" fillId="41" borderId="0"/>
    <xf numFmtId="0" fontId="27" fillId="42" borderId="0"/>
    <xf numFmtId="0" fontId="41" fillId="44" borderId="0"/>
    <xf numFmtId="0" fontId="27" fillId="45" borderId="0"/>
    <xf numFmtId="0" fontId="27" fillId="46" borderId="0"/>
    <xf numFmtId="0" fontId="27" fillId="49" borderId="0"/>
    <xf numFmtId="0" fontId="27" fillId="50" borderId="0"/>
    <xf numFmtId="0" fontId="41" fillId="52" borderId="0"/>
    <xf numFmtId="0" fontId="27" fillId="53" borderId="0"/>
    <xf numFmtId="0" fontId="27" fillId="54" borderId="0"/>
    <xf numFmtId="0" fontId="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0" fontId="21" fillId="0" borderId="6"/>
    <xf numFmtId="164" fontId="27" fillId="0" borderId="0"/>
    <xf numFmtId="0" fontId="19" fillId="0" borderId="5"/>
    <xf numFmtId="164" fontId="27" fillId="0" borderId="0"/>
    <xf numFmtId="0" fontId="11" fillId="15" borderId="0"/>
    <xf numFmtId="0" fontId="20" fillId="7" borderId="1"/>
    <xf numFmtId="0" fontId="23" fillId="20" borderId="8"/>
    <xf numFmtId="0" fontId="15" fillId="0" borderId="0"/>
    <xf numFmtId="0" fontId="19" fillId="0" borderId="0"/>
    <xf numFmtId="0" fontId="5" fillId="8" borderId="0"/>
    <xf numFmtId="0" fontId="7" fillId="23" borderId="7"/>
    <xf numFmtId="0" fontId="5" fillId="11" borderId="0"/>
    <xf numFmtId="0" fontId="21" fillId="0" borderId="6"/>
    <xf numFmtId="0" fontId="14" fillId="21" borderId="2"/>
    <xf numFmtId="0" fontId="11" fillId="13" borderId="0"/>
    <xf numFmtId="164" fontId="27" fillId="0" borderId="0"/>
    <xf numFmtId="0" fontId="5" fillId="4" borderId="0"/>
    <xf numFmtId="0" fontId="13" fillId="20" borderId="1"/>
    <xf numFmtId="164" fontId="27" fillId="0" borderId="0"/>
    <xf numFmtId="0" fontId="5" fillId="2" borderId="0"/>
    <xf numFmtId="0" fontId="5" fillId="2" borderId="0"/>
    <xf numFmtId="0" fontId="5" fillId="3" borderId="0"/>
    <xf numFmtId="0" fontId="5" fillId="3" borderId="0"/>
    <xf numFmtId="0" fontId="5" fillId="4" borderId="0"/>
    <xf numFmtId="0" fontId="5" fillId="4" borderId="0"/>
    <xf numFmtId="0" fontId="5" fillId="5" borderId="0"/>
    <xf numFmtId="0" fontId="5" fillId="5" borderId="0"/>
    <xf numFmtId="0" fontId="5" fillId="6" borderId="0"/>
    <xf numFmtId="0" fontId="5" fillId="6" borderId="0"/>
    <xf numFmtId="0" fontId="5" fillId="7" borderId="0"/>
    <xf numFmtId="0" fontId="5" fillId="7" borderId="0"/>
    <xf numFmtId="0" fontId="5" fillId="8" borderId="0"/>
    <xf numFmtId="0" fontId="5" fillId="8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5" borderId="0"/>
    <xf numFmtId="0" fontId="5" fillId="5" borderId="0"/>
    <xf numFmtId="0" fontId="5" fillId="8" borderId="0"/>
    <xf numFmtId="0" fontId="5" fillId="8" borderId="0"/>
    <xf numFmtId="0" fontId="5" fillId="11" borderId="0"/>
    <xf numFmtId="0" fontId="5" fillId="11" borderId="0"/>
    <xf numFmtId="0" fontId="11" fillId="12" borderId="0"/>
    <xf numFmtId="0" fontId="11" fillId="12" borderId="0"/>
    <xf numFmtId="0" fontId="11" fillId="9" borderId="0"/>
    <xf numFmtId="0" fontId="11" fillId="9" borderId="0"/>
    <xf numFmtId="0" fontId="11" fillId="10" borderId="0"/>
    <xf numFmtId="0" fontId="11" fillId="10" borderId="0"/>
    <xf numFmtId="0" fontId="11" fillId="13" borderId="0"/>
    <xf numFmtId="0" fontId="11" fillId="13" borderId="0"/>
    <xf numFmtId="0" fontId="11" fillId="14" borderId="0"/>
    <xf numFmtId="0" fontId="11" fillId="14" borderId="0"/>
    <xf numFmtId="0" fontId="11" fillId="15" borderId="0"/>
    <xf numFmtId="0" fontId="11" fillId="15" borderId="0"/>
    <xf numFmtId="0" fontId="11" fillId="16" borderId="0"/>
    <xf numFmtId="0" fontId="11" fillId="16" borderId="0"/>
    <xf numFmtId="0" fontId="11" fillId="17" borderId="0"/>
    <xf numFmtId="0" fontId="11" fillId="17" borderId="0"/>
    <xf numFmtId="0" fontId="11" fillId="18" borderId="0"/>
    <xf numFmtId="0" fontId="11" fillId="18" borderId="0"/>
    <xf numFmtId="0" fontId="11" fillId="13" borderId="0"/>
    <xf numFmtId="0" fontId="11" fillId="13" borderId="0"/>
    <xf numFmtId="0" fontId="11" fillId="14" borderId="0"/>
    <xf numFmtId="0" fontId="11" fillId="19" borderId="0"/>
    <xf numFmtId="0" fontId="11" fillId="19" borderId="0"/>
    <xf numFmtId="0" fontId="12" fillId="3" borderId="0"/>
    <xf numFmtId="0" fontId="12" fillId="3" borderId="0"/>
    <xf numFmtId="0" fontId="13" fillId="20" borderId="1"/>
    <xf numFmtId="0" fontId="13" fillId="20" borderId="1"/>
    <xf numFmtId="0" fontId="14" fillId="21" borderId="2"/>
    <xf numFmtId="0" fontId="14" fillId="21" borderId="2"/>
    <xf numFmtId="0" fontId="15" fillId="0" borderId="0"/>
    <xf numFmtId="0" fontId="15" fillId="0" borderId="0"/>
    <xf numFmtId="0" fontId="16" fillId="4" borderId="0"/>
    <xf numFmtId="0" fontId="16" fillId="4" borderId="0"/>
    <xf numFmtId="0" fontId="17" fillId="0" borderId="3"/>
    <xf numFmtId="0" fontId="17" fillId="0" borderId="3"/>
    <xf numFmtId="0" fontId="18" fillId="0" borderId="4"/>
    <xf numFmtId="0" fontId="18" fillId="0" borderId="4"/>
    <xf numFmtId="0" fontId="19" fillId="0" borderId="5"/>
    <xf numFmtId="0" fontId="19" fillId="0" borderId="5"/>
    <xf numFmtId="0" fontId="19" fillId="0" borderId="0"/>
    <xf numFmtId="0" fontId="19" fillId="0" borderId="0"/>
    <xf numFmtId="0" fontId="26" fillId="0" borderId="0" applyAlignment="1" applyProtection="1">
      <alignment vertical="top"/>
      <protection locked="0" hidden="0"/>
    </xf>
    <xf numFmtId="0" fontId="20" fillId="7" borderId="1"/>
    <xf numFmtId="0" fontId="20" fillId="7" borderId="1"/>
    <xf numFmtId="0" fontId="21" fillId="0" borderId="6"/>
    <xf numFmtId="0" fontId="21" fillId="0" borderId="6"/>
    <xf numFmtId="0" fontId="22" fillId="22" borderId="0"/>
    <xf numFmtId="0" fontId="22" fillId="22" borderId="0"/>
    <xf numFmtId="0" fontId="7" fillId="23" borderId="7"/>
    <xf numFmtId="0" fontId="7" fillId="23" borderId="7"/>
    <xf numFmtId="0" fontId="23" fillId="20" borderId="8"/>
    <xf numFmtId="0" fontId="23" fillId="20" borderId="8"/>
    <xf numFmtId="0" fontId="24" fillId="0" borderId="0"/>
    <xf numFmtId="0" fontId="24" fillId="0" borderId="0"/>
    <xf numFmtId="0" fontId="1" fillId="0" borderId="9"/>
    <xf numFmtId="0" fontId="1" fillId="0" borderId="9"/>
    <xf numFmtId="0" fontId="25" fillId="0" borderId="0"/>
    <xf numFmtId="0" fontId="25" fillId="0" borderId="0"/>
    <xf numFmtId="0" fontId="11" fillId="14" borderId="0"/>
    <xf numFmtId="0" fontId="14" fillId="21" borderId="2"/>
    <xf numFmtId="0" fontId="5" fillId="8" borderId="0"/>
    <xf numFmtId="0" fontId="13" fillId="20" borderId="1"/>
    <xf numFmtId="0" fontId="11" fillId="17" borderId="0"/>
    <xf numFmtId="0" fontId="11" fillId="13" borderId="0"/>
    <xf numFmtId="0" fontId="5" fillId="7" borderId="0"/>
    <xf numFmtId="0" fontId="24" fillId="0" borderId="0"/>
    <xf numFmtId="0" fontId="11" fillId="14" borderId="0"/>
    <xf numFmtId="0" fontId="18" fillId="0" borderId="4"/>
    <xf numFmtId="0" fontId="5" fillId="11" borderId="0"/>
    <xf numFmtId="0" fontId="11" fillId="18" borderId="0"/>
    <xf numFmtId="164" fontId="27" fillId="0" borderId="0"/>
    <xf numFmtId="0" fontId="25" fillId="0" borderId="0"/>
    <xf numFmtId="0" fontId="11" fillId="17" borderId="0"/>
    <xf numFmtId="0" fontId="47" fillId="0" borderId="0"/>
    <xf numFmtId="44" fontId="47" fillId="0" borderId="0"/>
    <xf numFmtId="0" fontId="18" fillId="0" borderId="4"/>
    <xf numFmtId="0" fontId="15" fillId="0" borderId="0"/>
    <xf numFmtId="0" fontId="16" fillId="4" borderId="0"/>
    <xf numFmtId="0" fontId="5" fillId="2" borderId="0"/>
    <xf numFmtId="0" fontId="5" fillId="5" borderId="0"/>
    <xf numFmtId="0" fontId="5" fillId="5" borderId="0"/>
    <xf numFmtId="0" fontId="25" fillId="0" borderId="0"/>
    <xf numFmtId="0" fontId="26" fillId="0" borderId="0" applyAlignment="1" applyProtection="1">
      <alignment vertical="top"/>
      <protection locked="0" hidden="0"/>
    </xf>
    <xf numFmtId="0" fontId="7" fillId="23" borderId="7"/>
    <xf numFmtId="0" fontId="11" fillId="13" borderId="0"/>
    <xf numFmtId="0" fontId="23" fillId="20" borderId="8"/>
    <xf numFmtId="0" fontId="11" fillId="10" borderId="0"/>
    <xf numFmtId="0" fontId="22" fillId="22" borderId="0"/>
    <xf numFmtId="0" fontId="11" fillId="15" borderId="0"/>
    <xf numFmtId="0" fontId="11" fillId="18" borderId="0"/>
    <xf numFmtId="0" fontId="12" fillId="3" borderId="0"/>
    <xf numFmtId="0" fontId="1" fillId="0" borderId="9"/>
    <xf numFmtId="0" fontId="11" fillId="19" borderId="0"/>
    <xf numFmtId="0" fontId="19" fillId="0" borderId="5"/>
    <xf numFmtId="0" fontId="11" fillId="12" borderId="0"/>
    <xf numFmtId="0" fontId="16" fillId="4" borderId="0"/>
    <xf numFmtId="0" fontId="17" fillId="0" borderId="3"/>
    <xf numFmtId="0" fontId="11" fillId="16" borderId="0"/>
    <xf numFmtId="0" fontId="17" fillId="0" borderId="3"/>
    <xf numFmtId="44" fontId="47" fillId="0" borderId="0"/>
    <xf numFmtId="0" fontId="11" fillId="19" borderId="0"/>
    <xf numFmtId="0" fontId="11" fillId="14" borderId="0"/>
    <xf numFmtId="0" fontId="11" fillId="16" borderId="0"/>
    <xf numFmtId="0" fontId="47" fillId="0" borderId="0"/>
    <xf numFmtId="0" fontId="20" fillId="7" borderId="1"/>
    <xf numFmtId="0" fontId="11" fillId="9" borderId="0"/>
    <xf numFmtId="0" fontId="5" fillId="10" borderId="0"/>
    <xf numFmtId="0" fontId="12" fillId="3" borderId="0"/>
    <xf numFmtId="0" fontId="1" fillId="0" borderId="9"/>
    <xf numFmtId="0" fontId="11" fillId="10" borderId="0"/>
    <xf numFmtId="0" fontId="11" fillId="14" borderId="0"/>
    <xf numFmtId="0" fontId="11" fillId="13" borderId="0"/>
    <xf numFmtId="0" fontId="11" fillId="9" borderId="0"/>
    <xf numFmtId="0" fontId="11" fillId="12" borderId="0"/>
    <xf numFmtId="0" fontId="5" fillId="8" borderId="0"/>
    <xf numFmtId="0" fontId="5" fillId="6" borderId="0"/>
    <xf numFmtId="0" fontId="27" fillId="0" borderId="0"/>
    <xf numFmtId="0" fontId="5" fillId="9" borderId="0"/>
    <xf numFmtId="0" fontId="5" fillId="6" borderId="0"/>
    <xf numFmtId="0" fontId="5" fillId="3" borderId="0"/>
    <xf numFmtId="0" fontId="24" fillId="0" borderId="0"/>
    <xf numFmtId="0" fontId="22" fillId="22" borderId="0"/>
    <xf numFmtId="0" fontId="19" fillId="0" borderId="0"/>
    <xf numFmtId="0" fontId="5" fillId="3" borderId="0"/>
    <xf numFmtId="0" fontId="5" fillId="9" borderId="0"/>
    <xf numFmtId="0" fontId="5" fillId="5" borderId="0"/>
    <xf numFmtId="0" fontId="5" fillId="5" borderId="0"/>
    <xf numFmtId="0" fontId="5" fillId="10" borderId="0"/>
    <xf numFmtId="0" fontId="5" fillId="4" borderId="0"/>
    <xf numFmtId="0" fontId="5" fillId="8" borderId="0"/>
    <xf numFmtId="0" fontId="5" fillId="2" borderId="0"/>
    <xf numFmtId="0" fontId="7" fillId="0" borderId="0"/>
    <xf numFmtId="0" fontId="5" fillId="7" borderId="0"/>
    <xf numFmtId="0" fontId="47" fillId="0" borderId="0"/>
    <xf numFmtId="0" fontId="42" fillId="0" borderId="0"/>
    <xf numFmtId="0" fontId="43" fillId="27" borderId="0"/>
    <xf numFmtId="0" fontId="41" fillId="35" borderId="0"/>
    <xf numFmtId="0" fontId="41" fillId="39" borderId="0"/>
    <xf numFmtId="0" fontId="41" fillId="43" borderId="0"/>
    <xf numFmtId="0" fontId="41" fillId="47" borderId="0"/>
    <xf numFmtId="0" fontId="41" fillId="51" borderId="0"/>
    <xf numFmtId="0" fontId="41" fillId="55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0" fontId="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0" fontId="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44" fontId="47" fillId="0" borderId="0"/>
    <xf numFmtId="164" fontId="27" fillId="0" borderId="0"/>
    <xf numFmtId="164" fontId="27" fillId="0" borderId="0"/>
    <xf numFmtId="164" fontId="27" fillId="0" borderId="0"/>
    <xf numFmtId="4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6" fillId="0" borderId="0" applyAlignment="1" applyProtection="1">
      <alignment vertical="top"/>
      <protection locked="0" hidden="0"/>
    </xf>
    <xf numFmtId="164" fontId="27" fillId="0" borderId="0"/>
    <xf numFmtId="0" fontId="47" fillId="0" borderId="0"/>
    <xf numFmtId="44" fontId="47" fillId="0" borderId="0"/>
    <xf numFmtId="164" fontId="27" fillId="0" borderId="0"/>
    <xf numFmtId="0" fontId="26" fillId="0" borderId="0" applyAlignment="1" applyProtection="1">
      <alignment vertical="top"/>
      <protection locked="0" hidden="0"/>
    </xf>
    <xf numFmtId="164" fontId="7" fillId="0" borderId="0"/>
    <xf numFmtId="164" fontId="7" fillId="0" borderId="0"/>
    <xf numFmtId="164" fontId="7" fillId="0" borderId="0"/>
    <xf numFmtId="164" fontId="7" fillId="0" borderId="0"/>
    <xf numFmtId="164" fontId="26" fillId="0" borderId="0" applyAlignment="1" applyProtection="1">
      <alignment vertical="top"/>
      <protection locked="0" hidden="0"/>
    </xf>
    <xf numFmtId="0" fontId="27" fillId="0" borderId="0"/>
    <xf numFmtId="0" fontId="27" fillId="0" borderId="0"/>
    <xf numFmtId="164" fontId="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0" fontId="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44" fontId="27" fillId="0" borderId="0"/>
    <xf numFmtId="164" fontId="27" fillId="0" borderId="0"/>
    <xf numFmtId="164" fontId="27" fillId="0" borderId="0"/>
    <xf numFmtId="164" fontId="27" fillId="0" borderId="0"/>
    <xf numFmtId="0" fontId="7" fillId="0" borderId="0"/>
    <xf numFmtId="164" fontId="27" fillId="0" borderId="0"/>
    <xf numFmtId="164" fontId="27" fillId="0" borderId="0"/>
    <xf numFmtId="164" fontId="27" fillId="0" borderId="0"/>
    <xf numFmtId="164" fontId="5" fillId="2" borderId="0"/>
    <xf numFmtId="164" fontId="5" fillId="2" borderId="0"/>
    <xf numFmtId="164" fontId="5" fillId="3" borderId="0"/>
    <xf numFmtId="164" fontId="5" fillId="3" borderId="0"/>
    <xf numFmtId="164" fontId="5" fillId="4" borderId="0"/>
    <xf numFmtId="164" fontId="5" fillId="4" borderId="0"/>
    <xf numFmtId="164" fontId="5" fillId="5" borderId="0"/>
    <xf numFmtId="164" fontId="5" fillId="5" borderId="0"/>
    <xf numFmtId="164" fontId="5" fillId="6" borderId="0"/>
    <xf numFmtId="164" fontId="5" fillId="6" borderId="0"/>
    <xf numFmtId="164" fontId="5" fillId="7" borderId="0"/>
    <xf numFmtId="164" fontId="5" fillId="7" borderId="0"/>
    <xf numFmtId="164" fontId="5" fillId="8" borderId="0"/>
    <xf numFmtId="164" fontId="5" fillId="8" borderId="0"/>
    <xf numFmtId="164" fontId="5" fillId="9" borderId="0"/>
    <xf numFmtId="164" fontId="5" fillId="9" borderId="0"/>
    <xf numFmtId="164" fontId="5" fillId="10" borderId="0"/>
    <xf numFmtId="164" fontId="5" fillId="10" borderId="0"/>
    <xf numFmtId="164" fontId="5" fillId="5" borderId="0"/>
    <xf numFmtId="164" fontId="5" fillId="5" borderId="0"/>
    <xf numFmtId="164" fontId="5" fillId="8" borderId="0"/>
    <xf numFmtId="164" fontId="5" fillId="8" borderId="0"/>
    <xf numFmtId="164" fontId="5" fillId="11" borderId="0"/>
    <xf numFmtId="164" fontId="5" fillId="11" borderId="0"/>
    <xf numFmtId="164" fontId="11" fillId="12" borderId="0"/>
    <xf numFmtId="164" fontId="11" fillId="12" borderId="0"/>
    <xf numFmtId="164" fontId="11" fillId="9" borderId="0"/>
    <xf numFmtId="164" fontId="11" fillId="9" borderId="0"/>
    <xf numFmtId="164" fontId="11" fillId="10" borderId="0"/>
    <xf numFmtId="164" fontId="11" fillId="10" borderId="0"/>
    <xf numFmtId="164" fontId="11" fillId="13" borderId="0"/>
    <xf numFmtId="164" fontId="11" fillId="13" borderId="0"/>
    <xf numFmtId="164" fontId="11" fillId="14" borderId="0"/>
    <xf numFmtId="164" fontId="11" fillId="14" borderId="0"/>
    <xf numFmtId="164" fontId="11" fillId="15" borderId="0"/>
    <xf numFmtId="164" fontId="11" fillId="15" borderId="0"/>
    <xf numFmtId="164" fontId="11" fillId="16" borderId="0"/>
    <xf numFmtId="164" fontId="11" fillId="16" borderId="0"/>
    <xf numFmtId="164" fontId="11" fillId="17" borderId="0"/>
    <xf numFmtId="164" fontId="11" fillId="17" borderId="0"/>
    <xf numFmtId="164" fontId="11" fillId="18" borderId="0"/>
    <xf numFmtId="164" fontId="11" fillId="18" borderId="0"/>
    <xf numFmtId="164" fontId="11" fillId="13" borderId="0"/>
    <xf numFmtId="164" fontId="11" fillId="13" borderId="0"/>
    <xf numFmtId="164" fontId="11" fillId="14" borderId="0"/>
    <xf numFmtId="164" fontId="11" fillId="14" borderId="0"/>
    <xf numFmtId="164" fontId="11" fillId="19" borderId="0"/>
    <xf numFmtId="164" fontId="11" fillId="19" borderId="0"/>
    <xf numFmtId="164" fontId="12" fillId="3" borderId="0"/>
    <xf numFmtId="164" fontId="12" fillId="3" borderId="0"/>
    <xf numFmtId="164" fontId="13" fillId="20" borderId="1"/>
    <xf numFmtId="164" fontId="13" fillId="20" borderId="1"/>
    <xf numFmtId="164" fontId="14" fillId="21" borderId="2"/>
    <xf numFmtId="164" fontId="14" fillId="21" borderId="2"/>
    <xf numFmtId="164" fontId="15" fillId="0" borderId="0"/>
    <xf numFmtId="164" fontId="15" fillId="0" borderId="0"/>
    <xf numFmtId="164" fontId="16" fillId="4" borderId="0"/>
    <xf numFmtId="164" fontId="16" fillId="4" borderId="0"/>
    <xf numFmtId="164" fontId="17" fillId="0" borderId="3"/>
    <xf numFmtId="164" fontId="17" fillId="0" borderId="3"/>
    <xf numFmtId="164" fontId="18" fillId="0" borderId="4"/>
    <xf numFmtId="164" fontId="18" fillId="0" borderId="4"/>
    <xf numFmtId="164" fontId="19" fillId="0" borderId="5"/>
    <xf numFmtId="164" fontId="19" fillId="0" borderId="5"/>
    <xf numFmtId="164" fontId="19" fillId="0" borderId="0"/>
    <xf numFmtId="164" fontId="19" fillId="0" borderId="0"/>
    <xf numFmtId="164" fontId="20" fillId="7" borderId="1"/>
    <xf numFmtId="164" fontId="20" fillId="7" borderId="1"/>
    <xf numFmtId="164" fontId="21" fillId="0" borderId="6"/>
    <xf numFmtId="164" fontId="21" fillId="0" borderId="6"/>
    <xf numFmtId="164" fontId="22" fillId="22" borderId="0"/>
    <xf numFmtId="164" fontId="22" fillId="22" borderId="0"/>
    <xf numFmtId="164" fontId="7" fillId="23" borderId="7"/>
    <xf numFmtId="164" fontId="7" fillId="23" borderId="7"/>
    <xf numFmtId="164" fontId="23" fillId="20" borderId="8"/>
    <xf numFmtId="164" fontId="23" fillId="20" borderId="8"/>
    <xf numFmtId="164" fontId="24" fillId="0" borderId="0"/>
    <xf numFmtId="164" fontId="24" fillId="0" borderId="0"/>
    <xf numFmtId="164" fontId="1" fillId="0" borderId="9"/>
    <xf numFmtId="164" fontId="1" fillId="0" borderId="9"/>
    <xf numFmtId="164" fontId="25" fillId="0" borderId="0"/>
    <xf numFmtId="164" fontId="25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0" fontId="27" fillId="0" borderId="0"/>
    <xf numFmtId="164" fontId="2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44" fillId="0" borderId="0"/>
    <xf numFmtId="0" fontId="27" fillId="0" borderId="0"/>
    <xf numFmtId="164" fontId="27" fillId="0" borderId="0"/>
    <xf numFmtId="164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0" fontId="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0" fontId="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0" fontId="42" fillId="0" borderId="0"/>
    <xf numFmtId="0" fontId="43" fillId="27" borderId="0"/>
    <xf numFmtId="0" fontId="41" fillId="35" borderId="0"/>
    <xf numFmtId="0" fontId="41" fillId="39" borderId="0"/>
    <xf numFmtId="0" fontId="41" fillId="43" borderId="0"/>
    <xf numFmtId="0" fontId="41" fillId="47" borderId="0"/>
    <xf numFmtId="0" fontId="41" fillId="51" borderId="0"/>
    <xf numFmtId="0" fontId="41" fillId="55" borderId="0"/>
    <xf numFmtId="0" fontId="7" fillId="0" borderId="0"/>
    <xf numFmtId="0" fontId="7" fillId="0" borderId="0"/>
    <xf numFmtId="164" fontId="27" fillId="0" borderId="0"/>
    <xf numFmtId="164" fontId="27" fillId="0" borderId="0"/>
    <xf numFmtId="164" fontId="27" fillId="0" borderId="0"/>
    <xf numFmtId="0" fontId="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164" fontId="27" fillId="0" borderId="0"/>
    <xf numFmtId="0" fontId="27" fillId="0" borderId="0"/>
    <xf numFmtId="164" fontId="27" fillId="0" borderId="0"/>
    <xf numFmtId="164" fontId="27" fillId="0" borderId="0"/>
    <xf numFmtId="0" fontId="7" fillId="0" borderId="0"/>
    <xf numFmtId="164" fontId="27" fillId="0" borderId="0"/>
    <xf numFmtId="164" fontId="27" fillId="0" borderId="0"/>
    <xf numFmtId="0" fontId="7" fillId="0" borderId="0"/>
    <xf numFmtId="0" fontId="7" fillId="0" borderId="0"/>
  </cellStyleXfs>
  <cellXfs count="158">
    <xf numFmtId="164" fontId="0" fillId="0" borderId="0" pivotButton="0" quotePrefix="0" xfId="0"/>
    <xf numFmtId="164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left"/>
    </xf>
    <xf numFmtId="164" fontId="0" fillId="0" borderId="10" applyAlignment="1" pivotButton="0" quotePrefix="0" xfId="0">
      <alignment horizontal="center"/>
    </xf>
    <xf numFmtId="164" fontId="4" fillId="24" borderId="11" applyAlignment="1" pivotButton="0" quotePrefix="0" xfId="78">
      <alignment horizontal="center" vertical="top" wrapText="1"/>
    </xf>
    <xf numFmtId="14" fontId="4" fillId="24" borderId="11" applyAlignment="1" pivotButton="0" quotePrefix="0" xfId="78">
      <alignment horizontal="center" vertical="top" wrapText="1"/>
    </xf>
    <xf numFmtId="165" fontId="4" fillId="24" borderId="11" applyAlignment="1" pivotButton="0" quotePrefix="0" xfId="78">
      <alignment horizontal="center" vertical="top" wrapText="1"/>
    </xf>
    <xf numFmtId="21" fontId="4" fillId="24" borderId="11" applyAlignment="1" pivotButton="0" quotePrefix="0" xfId="78">
      <alignment horizontal="center" vertical="top" wrapText="1"/>
    </xf>
    <xf numFmtId="166" fontId="4" fillId="24" borderId="11" applyAlignment="1" pivotButton="0" quotePrefix="0" xfId="55">
      <alignment horizontal="center" vertical="top" wrapText="1"/>
    </xf>
    <xf numFmtId="164" fontId="5" fillId="0" borderId="0" pivotButton="0" quotePrefix="0" xfId="0"/>
    <xf numFmtId="164" fontId="5" fillId="0" borderId="0" applyAlignment="1" pivotButton="0" quotePrefix="0" xfId="0">
      <alignment horizontal="center"/>
    </xf>
    <xf numFmtId="164" fontId="10" fillId="0" borderId="0" pivotButton="0" quotePrefix="0" xfId="0"/>
    <xf numFmtId="164" fontId="1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 wrapText="1"/>
    </xf>
    <xf numFmtId="164" fontId="26" fillId="0" borderId="0" pivotButton="0" quotePrefix="0" xfId="70"/>
    <xf numFmtId="164" fontId="4" fillId="24" borderId="11" applyAlignment="1" pivotButton="0" quotePrefix="0" xfId="55">
      <alignment horizontal="center" vertical="top" wrapText="1"/>
    </xf>
    <xf numFmtId="49" fontId="4" fillId="24" borderId="11" applyAlignment="1" pivotButton="0" quotePrefix="0" xfId="78">
      <alignment horizontal="center" vertical="top" wrapText="1"/>
    </xf>
    <xf numFmtId="49" fontId="0" fillId="0" borderId="0" pivotButton="0" quotePrefix="0" xfId="0"/>
    <xf numFmtId="0" fontId="0" fillId="0" borderId="10" applyAlignment="1" pivotButton="0" quotePrefix="0" xfId="0">
      <alignment horizontal="left"/>
    </xf>
    <xf numFmtId="164" fontId="0" fillId="0" borderId="0" pivotButton="1" quotePrefix="0" xfId="0"/>
    <xf numFmtId="166" fontId="0" fillId="0" borderId="0" pivotButton="0" quotePrefix="0" xfId="55"/>
    <xf numFmtId="1" fontId="4" fillId="24" borderId="11" applyAlignment="1" pivotButton="0" quotePrefix="0" xfId="78">
      <alignment horizontal="center" vertical="top" wrapText="1"/>
    </xf>
    <xf numFmtId="1" fontId="0" fillId="0" borderId="0" pivotButton="0" quotePrefix="0" xfId="0"/>
    <xf numFmtId="166" fontId="0" fillId="0" borderId="0" pivotButton="0" quotePrefix="0" xfId="0"/>
    <xf numFmtId="164" fontId="6" fillId="0" borderId="0" applyAlignment="1" pivotButton="0" quotePrefix="0" xfId="0">
      <alignment horizontal="center" vertical="center" wrapText="1"/>
    </xf>
    <xf numFmtId="167" fontId="6" fillId="0" borderId="0" applyAlignment="1" applyProtection="1" pivotButton="0" quotePrefix="0" xfId="0">
      <alignment horizontal="center" vertical="center" wrapText="1"/>
      <protection locked="0" hidden="0"/>
    </xf>
    <xf numFmtId="14" fontId="6" fillId="0" borderId="0" applyAlignment="1" pivotButton="0" quotePrefix="0" xfId="0">
      <alignment horizontal="center" vertical="center" wrapText="1"/>
    </xf>
    <xf numFmtId="165" fontId="6" fillId="0" borderId="0" applyAlignment="1" pivotButton="0" quotePrefix="0" xfId="0">
      <alignment horizontal="center" vertical="center" wrapText="1"/>
    </xf>
    <xf numFmtId="166" fontId="6" fillId="0" borderId="0" applyAlignment="1" pivotButton="0" quotePrefix="0" xfId="56">
      <alignment horizontal="center" vertical="center" wrapText="1"/>
    </xf>
    <xf numFmtId="166" fontId="6" fillId="0" borderId="0" applyAlignment="1" pivotButton="0" quotePrefix="0" xfId="55">
      <alignment horizontal="center" vertical="center" wrapText="1"/>
    </xf>
    <xf numFmtId="167" fontId="6" fillId="0" borderId="0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center" vertical="center" wrapText="1"/>
    </xf>
    <xf numFmtId="1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/>
    </xf>
    <xf numFmtId="164" fontId="6" fillId="56" borderId="0" applyAlignment="1" pivotButton="0" quotePrefix="0" xfId="0">
      <alignment horizontal="left" vertical="center"/>
    </xf>
    <xf numFmtId="167" fontId="6" fillId="56" borderId="0" applyAlignment="1" applyProtection="1" pivotButton="0" quotePrefix="0" xfId="0">
      <alignment horizontal="center" vertical="center" wrapText="1"/>
      <protection locked="0" hidden="0"/>
    </xf>
    <xf numFmtId="167" fontId="6" fillId="56" borderId="0" applyAlignment="1" pivotButton="0" quotePrefix="0" xfId="0">
      <alignment horizontal="center" vertical="center" wrapText="1"/>
    </xf>
    <xf numFmtId="14" fontId="6" fillId="56" borderId="0" applyAlignment="1" pivotButton="0" quotePrefix="0" xfId="0">
      <alignment horizontal="center" vertical="center" wrapText="1"/>
    </xf>
    <xf numFmtId="165" fontId="6" fillId="56" borderId="0" applyAlignment="1" pivotButton="0" quotePrefix="0" xfId="0">
      <alignment horizontal="center" vertical="center" wrapText="1"/>
    </xf>
    <xf numFmtId="164" fontId="6" fillId="56" borderId="0" applyAlignment="1" pivotButton="0" quotePrefix="0" xfId="0">
      <alignment horizontal="center" vertical="center" wrapText="1"/>
    </xf>
    <xf numFmtId="0" fontId="0" fillId="0" borderId="0" applyAlignment="1" pivotButton="0" quotePrefix="1" xfId="0">
      <alignment horizontal="left"/>
    </xf>
    <xf numFmtId="164" fontId="1" fillId="0" borderId="0" pivotButton="0" quotePrefix="0" xfId="0"/>
    <xf numFmtId="167" fontId="0" fillId="0" borderId="0" pivotButton="0" quotePrefix="0" xfId="0"/>
    <xf numFmtId="14" fontId="0" fillId="0" borderId="0" pivotButton="0" quotePrefix="0" xfId="0"/>
    <xf numFmtId="46" fontId="6" fillId="0" borderId="0" applyAlignment="1" pivotButton="0" quotePrefix="0" xfId="0">
      <alignment horizontal="center" vertical="center" wrapText="1"/>
    </xf>
    <xf numFmtId="165" fontId="0" fillId="0" borderId="0" pivotButton="0" quotePrefix="0" xfId="0"/>
    <xf numFmtId="168" fontId="6" fillId="0" borderId="0" applyAlignment="1" pivotButton="0" quotePrefix="0" xfId="56">
      <alignment horizontal="center" vertical="center" wrapText="1"/>
    </xf>
    <xf numFmtId="17" fontId="0" fillId="0" borderId="0" pivotButton="0" quotePrefix="0" xfId="0"/>
    <xf numFmtId="1" fontId="7" fillId="0" borderId="0" pivotButton="0" quotePrefix="0" xfId="56"/>
    <xf numFmtId="1" fontId="0" fillId="0" borderId="0" applyAlignment="1" pivotButton="0" quotePrefix="0" xfId="0">
      <alignment horizontal="center" vertical="center"/>
    </xf>
    <xf numFmtId="164" fontId="5" fillId="0" borderId="12" pivotButton="0" quotePrefix="0" xfId="0"/>
    <xf numFmtId="168" fontId="6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/>
    </xf>
    <xf numFmtId="166" fontId="5" fillId="0" borderId="0" applyAlignment="1" pivotButton="0" quotePrefix="0" xfId="55">
      <alignment horizontal="left"/>
    </xf>
    <xf numFmtId="166" fontId="5" fillId="0" borderId="0" pivotButton="0" quotePrefix="0" xfId="55"/>
    <xf numFmtId="164" fontId="5" fillId="0" borderId="12" applyAlignment="1" pivotButton="0" quotePrefix="0" xfId="0">
      <alignment horizontal="center"/>
    </xf>
    <xf numFmtId="164" fontId="1" fillId="0" borderId="12" applyAlignment="1" pivotButton="0" quotePrefix="0" xfId="0">
      <alignment horizontal="center"/>
    </xf>
    <xf numFmtId="164" fontId="8" fillId="0" borderId="12" applyAlignment="1" pivotButton="0" quotePrefix="0" xfId="0">
      <alignment horizontal="right"/>
    </xf>
    <xf numFmtId="164" fontId="9" fillId="0" borderId="12" applyAlignment="1" pivotButton="0" quotePrefix="0" xfId="0">
      <alignment horizontal="center"/>
    </xf>
    <xf numFmtId="164" fontId="8" fillId="0" borderId="0" applyAlignment="1" pivotButton="0" quotePrefix="0" xfId="0">
      <alignment horizontal="right"/>
    </xf>
    <xf numFmtId="164" fontId="9" fillId="0" borderId="0" applyAlignment="1" pivotButton="0" quotePrefix="0" xfId="0">
      <alignment horizontal="center"/>
    </xf>
    <xf numFmtId="164" fontId="9" fillId="0" borderId="13" applyAlignment="1" pivotButton="0" quotePrefix="0" xfId="0">
      <alignment horizontal="center"/>
    </xf>
    <xf numFmtId="9" fontId="9" fillId="0" borderId="13" applyAlignment="1" pivotButton="0" quotePrefix="0" xfId="0">
      <alignment horizontal="center"/>
    </xf>
    <xf numFmtId="1" fontId="9" fillId="0" borderId="31" applyAlignment="1" pivotButton="0" quotePrefix="0" xfId="0">
      <alignment horizontal="center"/>
    </xf>
    <xf numFmtId="166" fontId="9" fillId="0" borderId="32" applyAlignment="1" pivotButton="0" quotePrefix="0" xfId="0">
      <alignment horizontal="center"/>
    </xf>
    <xf numFmtId="9" fontId="9" fillId="0" borderId="33" applyAlignment="1" pivotButton="0" quotePrefix="0" xfId="0">
      <alignment horizontal="center"/>
    </xf>
    <xf numFmtId="166" fontId="9" fillId="0" borderId="34" applyAlignment="1" pivotButton="0" quotePrefix="0" xfId="0">
      <alignment horizontal="center"/>
    </xf>
    <xf numFmtId="164" fontId="5" fillId="0" borderId="35" applyAlignment="1" pivotButton="0" quotePrefix="0" xfId="0">
      <alignment horizontal="center"/>
    </xf>
    <xf numFmtId="164" fontId="5" fillId="0" borderId="36" applyAlignment="1" pivotButton="0" quotePrefix="0" xfId="0">
      <alignment horizontal="center"/>
    </xf>
    <xf numFmtId="166" fontId="5" fillId="0" borderId="37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0" fillId="0" borderId="1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4" fontId="0" fillId="0" borderId="14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164" fontId="2" fillId="0" borderId="10" applyAlignment="1" pivotButton="0" quotePrefix="0" xfId="0">
      <alignment horizontal="center"/>
    </xf>
    <xf numFmtId="164" fontId="0" fillId="0" borderId="15" applyAlignment="1" pivotButton="0" quotePrefix="0" xfId="0">
      <alignment horizontal="center" vertical="top" wrapText="1"/>
    </xf>
    <xf numFmtId="164" fontId="5" fillId="0" borderId="16" applyAlignment="1" pivotButton="0" quotePrefix="0" xfId="0">
      <alignment horizontal="center" vertical="top" wrapText="1"/>
    </xf>
    <xf numFmtId="164" fontId="5" fillId="0" borderId="17" applyAlignment="1" pivotButton="0" quotePrefix="0" xfId="0">
      <alignment horizontal="center" vertical="top" wrapText="1"/>
    </xf>
    <xf numFmtId="164" fontId="5" fillId="0" borderId="18" applyAlignment="1" pivotButton="0" quotePrefix="0" xfId="0">
      <alignment horizontal="center" vertical="top" wrapText="1"/>
    </xf>
    <xf numFmtId="164" fontId="5" fillId="0" borderId="0" applyAlignment="1" pivotButton="0" quotePrefix="0" xfId="0">
      <alignment horizontal="center" vertical="top" wrapText="1"/>
    </xf>
    <xf numFmtId="164" fontId="5" fillId="0" borderId="19" applyAlignment="1" pivotButton="0" quotePrefix="0" xfId="0">
      <alignment horizontal="center" vertical="top" wrapText="1"/>
    </xf>
    <xf numFmtId="164" fontId="5" fillId="0" borderId="20" applyAlignment="1" pivotButton="0" quotePrefix="0" xfId="0">
      <alignment horizontal="center" vertical="top" wrapText="1"/>
    </xf>
    <xf numFmtId="164" fontId="5" fillId="0" borderId="10" applyAlignment="1" pivotButton="0" quotePrefix="0" xfId="0">
      <alignment horizontal="center" vertical="top" wrapText="1"/>
    </xf>
    <xf numFmtId="164" fontId="5" fillId="0" borderId="21" applyAlignment="1" pivotButton="0" quotePrefix="0" xfId="0">
      <alignment horizontal="center" vertical="top" wrapText="1"/>
    </xf>
    <xf numFmtId="14" fontId="0" fillId="0" borderId="0" applyAlignment="1" pivotButton="0" quotePrefix="0" xfId="0">
      <alignment horizontal="left"/>
    </xf>
    <xf numFmtId="169" fontId="0" fillId="0" borderId="10" applyAlignment="1" pivotButton="0" quotePrefix="0" xfId="0">
      <alignment horizontal="left"/>
    </xf>
    <xf numFmtId="164" fontId="26" fillId="0" borderId="14" pivotButton="0" quotePrefix="0" xfId="70"/>
    <xf numFmtId="164" fontId="0" fillId="0" borderId="14" pivotButton="0" quotePrefix="0" xfId="0"/>
    <xf numFmtId="164" fontId="5" fillId="0" borderId="0" applyAlignment="1" pivotButton="0" quotePrefix="0" xfId="0">
      <alignment horizontal="center"/>
    </xf>
    <xf numFmtId="166" fontId="5" fillId="0" borderId="0" applyAlignment="1" pivotButton="0" quotePrefix="0" xfId="55">
      <alignment horizontal="center"/>
    </xf>
    <xf numFmtId="164" fontId="5" fillId="0" borderId="0" pivotButton="0" quotePrefix="0" xfId="0"/>
    <xf numFmtId="164" fontId="9" fillId="0" borderId="38" pivotButton="0" quotePrefix="0" xfId="0"/>
    <xf numFmtId="164" fontId="5" fillId="0" borderId="38" applyAlignment="1" pivotButton="0" quotePrefix="0" xfId="0">
      <alignment horizontal="center"/>
    </xf>
    <xf numFmtId="166" fontId="5" fillId="0" borderId="38" applyAlignment="1" pivotButton="0" quotePrefix="0" xfId="55">
      <alignment horizontal="left"/>
    </xf>
    <xf numFmtId="164" fontId="10" fillId="0" borderId="0" pivotButton="0" quotePrefix="0" xfId="0"/>
    <xf numFmtId="164" fontId="10" fillId="0" borderId="0" applyAlignment="1" pivotButton="0" quotePrefix="0" xfId="0">
      <alignment horizontal="center"/>
    </xf>
    <xf numFmtId="0" fontId="0" fillId="0" borderId="0" pivotButton="0" quotePrefix="0" xfId="0"/>
    <xf numFmtId="164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right"/>
    </xf>
    <xf numFmtId="164" fontId="0" fillId="0" borderId="10" applyAlignment="1" pivotButton="0" quotePrefix="0" xfId="0">
      <alignment horizontal="left"/>
    </xf>
    <xf numFmtId="0" fontId="0" fillId="0" borderId="10" pivotButton="0" quotePrefix="0" xfId="0"/>
    <xf numFmtId="164" fontId="0" fillId="0" borderId="0" applyAlignment="1" pivotButton="0" quotePrefix="0" xfId="0">
      <alignment horizontal="left"/>
    </xf>
    <xf numFmtId="164" fontId="0" fillId="0" borderId="14" applyAlignment="1" pivotButton="0" quotePrefix="0" xfId="0">
      <alignment horizontal="left"/>
    </xf>
    <xf numFmtId="0" fontId="0" fillId="0" borderId="14" pivotButton="0" quotePrefix="0" xfId="0"/>
    <xf numFmtId="164" fontId="0" fillId="0" borderId="10" applyAlignment="1" pivotButton="0" quotePrefix="0" xfId="0">
      <alignment horizontal="center"/>
    </xf>
    <xf numFmtId="169" fontId="0" fillId="0" borderId="10" applyAlignment="1" pivotButton="0" quotePrefix="0" xfId="0">
      <alignment horizontal="left"/>
    </xf>
    <xf numFmtId="164" fontId="26" fillId="0" borderId="14" pivotButton="0" quotePrefix="0" xfId="70"/>
    <xf numFmtId="164" fontId="26" fillId="0" borderId="0" pivotButton="0" quotePrefix="0" xfId="70"/>
    <xf numFmtId="164" fontId="4" fillId="24" borderId="11" applyAlignment="1" pivotButton="0" quotePrefix="0" xfId="78">
      <alignment horizontal="center" vertical="top" wrapText="1"/>
    </xf>
    <xf numFmtId="166" fontId="4" fillId="24" borderId="11" applyAlignment="1" pivotButton="0" quotePrefix="0" xfId="55">
      <alignment horizontal="center" vertical="top" wrapText="1"/>
    </xf>
    <xf numFmtId="164" fontId="6" fillId="0" borderId="0" applyAlignment="1" pivotButton="0" quotePrefix="0" xfId="0">
      <alignment horizontal="center" vertical="center" wrapText="1"/>
    </xf>
    <xf numFmtId="167" fontId="6" fillId="0" borderId="0" applyAlignment="1" applyProtection="1" pivotButton="0" quotePrefix="0" xfId="0">
      <alignment horizontal="center" vertical="center" wrapText="1"/>
      <protection locked="0" hidden="0"/>
    </xf>
    <xf numFmtId="166" fontId="6" fillId="0" borderId="0" applyAlignment="1" pivotButton="0" quotePrefix="0" xfId="55">
      <alignment horizontal="center" vertical="center" wrapText="1"/>
    </xf>
    <xf numFmtId="166" fontId="6" fillId="0" borderId="0" applyAlignment="1" pivotButton="0" quotePrefix="0" xfId="56">
      <alignment horizontal="center" vertical="center" wrapText="1"/>
    </xf>
    <xf numFmtId="164" fontId="5" fillId="0" borderId="12" pivotButton="0" quotePrefix="0" xfId="0"/>
    <xf numFmtId="164" fontId="5" fillId="0" borderId="12" applyAlignment="1" pivotButton="0" quotePrefix="0" xfId="0">
      <alignment horizontal="center"/>
    </xf>
    <xf numFmtId="164" fontId="1" fillId="0" borderId="12" applyAlignment="1" pivotButton="0" quotePrefix="0" xfId="0">
      <alignment horizontal="center"/>
    </xf>
    <xf numFmtId="164" fontId="8" fillId="0" borderId="12" applyAlignment="1" pivotButton="0" quotePrefix="0" xfId="0">
      <alignment horizontal="right"/>
    </xf>
    <xf numFmtId="164" fontId="9" fillId="0" borderId="12" applyAlignment="1" pivotButton="0" quotePrefix="0" xfId="0">
      <alignment horizontal="center"/>
    </xf>
    <xf numFmtId="166" fontId="9" fillId="0" borderId="32" applyAlignment="1" pivotButton="0" quotePrefix="0" xfId="0">
      <alignment horizontal="center"/>
    </xf>
    <xf numFmtId="164" fontId="5" fillId="0" borderId="0" pivotButton="0" quotePrefix="0" xfId="0"/>
    <xf numFmtId="164" fontId="2" fillId="0" borderId="10" applyAlignment="1" pivotButton="0" quotePrefix="0" xfId="0">
      <alignment horizontal="center"/>
    </xf>
    <xf numFmtId="164" fontId="8" fillId="0" borderId="0" applyAlignment="1" pivotButton="0" quotePrefix="0" xfId="0">
      <alignment horizontal="right"/>
    </xf>
    <xf numFmtId="164" fontId="9" fillId="0" borderId="0" applyAlignment="1" pivotButton="0" quotePrefix="0" xfId="0">
      <alignment horizontal="center"/>
    </xf>
    <xf numFmtId="164" fontId="9" fillId="0" borderId="13" applyAlignment="1" pivotButton="0" quotePrefix="0" xfId="0">
      <alignment horizontal="center"/>
    </xf>
    <xf numFmtId="166" fontId="9" fillId="0" borderId="34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164" fontId="0" fillId="0" borderId="11" applyAlignment="1" pivotButton="0" quotePrefix="0" xfId="0">
      <alignment horizontal="center" vertical="top" wrapText="1"/>
    </xf>
    <xf numFmtId="0" fontId="0" fillId="0" borderId="16" pivotButton="0" quotePrefix="0" xfId="0"/>
    <xf numFmtId="0" fontId="0" fillId="0" borderId="17" pivotButton="0" quotePrefix="0" xfId="0"/>
    <xf numFmtId="164" fontId="5" fillId="0" borderId="35" applyAlignment="1" pivotButton="0" quotePrefix="0" xfId="0">
      <alignment horizontal="center"/>
    </xf>
    <xf numFmtId="164" fontId="5" fillId="0" borderId="36" applyAlignment="1" pivotButton="0" quotePrefix="0" xfId="0">
      <alignment horizontal="center"/>
    </xf>
    <xf numFmtId="166" fontId="5" fillId="0" borderId="37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164" fontId="0" fillId="0" borderId="0" applyAlignment="1" pivotButton="0" quotePrefix="0" xfId="0">
      <alignment horizontal="center" wrapText="1"/>
    </xf>
    <xf numFmtId="164" fontId="1" fillId="0" borderId="0" pivotButton="0" quotePrefix="0" xfId="0"/>
    <xf numFmtId="166" fontId="5" fillId="0" borderId="0" applyAlignment="1" pivotButton="0" quotePrefix="0" xfId="55">
      <alignment horizontal="left"/>
    </xf>
    <xf numFmtId="166" fontId="5" fillId="0" borderId="0" pivotButton="0" quotePrefix="0" xfId="55"/>
    <xf numFmtId="164" fontId="9" fillId="0" borderId="38" pivotButton="0" quotePrefix="0" xfId="0"/>
    <xf numFmtId="164" fontId="5" fillId="0" borderId="38" applyAlignment="1" pivotButton="0" quotePrefix="0" xfId="0">
      <alignment horizontal="center"/>
    </xf>
    <xf numFmtId="166" fontId="5" fillId="0" borderId="38" applyAlignment="1" pivotButton="0" quotePrefix="0" xfId="55">
      <alignment horizontal="left"/>
    </xf>
    <xf numFmtId="166" fontId="5" fillId="0" borderId="0" applyAlignment="1" pivotButton="0" quotePrefix="0" xfId="55">
      <alignment horizontal="center"/>
    </xf>
    <xf numFmtId="164" fontId="4" fillId="24" borderId="11" applyAlignment="1" pivotButton="0" quotePrefix="0" xfId="55">
      <alignment horizontal="center" vertical="top" wrapText="1"/>
    </xf>
    <xf numFmtId="164" fontId="6" fillId="56" borderId="0" applyAlignment="1" pivotButton="0" quotePrefix="0" xfId="0">
      <alignment horizontal="left" vertical="center"/>
    </xf>
    <xf numFmtId="167" fontId="6" fillId="56" borderId="0" applyAlignment="1" applyProtection="1" pivotButton="0" quotePrefix="0" xfId="0">
      <alignment horizontal="center" vertical="center" wrapText="1"/>
      <protection locked="0" hidden="0"/>
    </xf>
    <xf numFmtId="167" fontId="6" fillId="56" borderId="0" applyAlignment="1" pivotButton="0" quotePrefix="0" xfId="0">
      <alignment horizontal="center" vertical="center" wrapText="1"/>
    </xf>
    <xf numFmtId="164" fontId="6" fillId="56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/>
    </xf>
    <xf numFmtId="167" fontId="6" fillId="0" borderId="0" applyAlignment="1" pivotButton="0" quotePrefix="0" xfId="0">
      <alignment horizontal="center" vertical="center" wrapText="1"/>
    </xf>
  </cellXfs>
  <cellStyles count="1912">
    <cellStyle name="Normal" xfId="0" builtinId="0"/>
    <cellStyle name="20% - Accent1 2" xfId="1"/>
    <cellStyle name="20% - Accent1 3" xfId="2"/>
    <cellStyle name="20% - Accent2 2" xfId="3"/>
    <cellStyle name="20% - Accent2 3" xfId="4"/>
    <cellStyle name="20% - Accent3 2" xfId="5"/>
    <cellStyle name="20% - Accent3 3" xfId="6"/>
    <cellStyle name="20% - Accent4 2" xfId="7"/>
    <cellStyle name="20% - Accent4 3" xfId="8"/>
    <cellStyle name="20% - Accent5 2" xfId="9"/>
    <cellStyle name="20% - Accent5 3" xfId="10"/>
    <cellStyle name="20% - Accent6 2" xfId="11"/>
    <cellStyle name="20% - Accent6 3" xfId="12"/>
    <cellStyle name="40% - Accent1 2" xfId="13"/>
    <cellStyle name="40% - Accent1 3" xfId="14"/>
    <cellStyle name="40% - Accent2 2" xfId="15"/>
    <cellStyle name="40% - Accent2 3" xfId="16"/>
    <cellStyle name="40% - Accent3 2" xfId="17"/>
    <cellStyle name="40% - Accent3 3" xfId="18"/>
    <cellStyle name="40% - Accent4 2" xfId="19"/>
    <cellStyle name="40% - Accent4 3" xfId="20"/>
    <cellStyle name="40% - Accent5 2" xfId="21"/>
    <cellStyle name="40% - Accent5 3" xfId="22"/>
    <cellStyle name="40% - Accent6 2" xfId="23"/>
    <cellStyle name="40% - Accent6 3" xfId="24"/>
    <cellStyle name="60% - Accent1 2" xfId="25"/>
    <cellStyle name="60% - Accent1 3" xfId="26"/>
    <cellStyle name="60% - Accent2 2" xfId="27"/>
    <cellStyle name="60% - Accent2 3" xfId="28"/>
    <cellStyle name="60% - Accent3 2" xfId="29"/>
    <cellStyle name="60% - Accent3 3" xfId="30"/>
    <cellStyle name="60% - Accent4 2" xfId="31"/>
    <cellStyle name="60% - Accent4 3" xfId="32"/>
    <cellStyle name="60% - Accent5 2" xfId="33"/>
    <cellStyle name="60% - Accent5 3" xfId="34"/>
    <cellStyle name="60% - Accent6 2" xfId="35"/>
    <cellStyle name="60% - Accent6 3" xfId="36"/>
    <cellStyle name="Accent1 2" xfId="37"/>
    <cellStyle name="Accent1 3" xfId="38"/>
    <cellStyle name="Accent2 2" xfId="39"/>
    <cellStyle name="Accent2 3" xfId="40"/>
    <cellStyle name="Accent3 2" xfId="41"/>
    <cellStyle name="Accent3 3" xfId="42"/>
    <cellStyle name="Accent4 2" xfId="43"/>
    <cellStyle name="Accent4 3" xfId="44"/>
    <cellStyle name="Accent5 2" xfId="45"/>
    <cellStyle name="Accent5 3" xfId="46"/>
    <cellStyle name="Accent6 2" xfId="47"/>
    <cellStyle name="Accent6 3" xfId="48"/>
    <cellStyle name="Bad 2" xfId="49"/>
    <cellStyle name="Bad 3" xfId="50"/>
    <cellStyle name="Calculation 2" xfId="51"/>
    <cellStyle name="Calculation 3" xfId="52"/>
    <cellStyle name="Check Cell 2" xfId="53"/>
    <cellStyle name="Check Cell 3" xfId="54"/>
    <cellStyle name="Currency" xfId="55" builtinId="4"/>
    <cellStyle name="Currency 2" xfId="56"/>
    <cellStyle name="Currency 3" xfId="57"/>
    <cellStyle name="Explanatory Text 2" xfId="58"/>
    <cellStyle name="Explanatory Text 3" xfId="59"/>
    <cellStyle name="Good 2" xfId="60"/>
    <cellStyle name="Good 3" xfId="61"/>
    <cellStyle name="Heading 1 2" xfId="62"/>
    <cellStyle name="Heading 1 3" xfId="63"/>
    <cellStyle name="Heading 2 2" xfId="64"/>
    <cellStyle name="Heading 2 3" xfId="65"/>
    <cellStyle name="Heading 3 2" xfId="66"/>
    <cellStyle name="Heading 3 3" xfId="67"/>
    <cellStyle name="Heading 4 2" xfId="68"/>
    <cellStyle name="Heading 4 3" xfId="69"/>
    <cellStyle name="Hyperlink" xfId="70" builtinId="8"/>
    <cellStyle name="Input 2" xfId="71"/>
    <cellStyle name="Input 3" xfId="72"/>
    <cellStyle name="Linked Cell 2" xfId="73"/>
    <cellStyle name="Linked Cell 3" xfId="74"/>
    <cellStyle name="Neutral 2" xfId="75"/>
    <cellStyle name="Neutral 3" xfId="76"/>
    <cellStyle name="Normal 2" xfId="77"/>
    <cellStyle name="Normal_10 06 03" xfId="78"/>
    <cellStyle name="Note 2" xfId="79"/>
    <cellStyle name="Note 3" xfId="80"/>
    <cellStyle name="Output 2" xfId="81"/>
    <cellStyle name="Output 3" xfId="82"/>
    <cellStyle name="Title 2" xfId="83"/>
    <cellStyle name="Title 3" xfId="84"/>
    <cellStyle name="Total 2" xfId="85"/>
    <cellStyle name="Total 3" xfId="86"/>
    <cellStyle name="Warning Text 2" xfId="87"/>
    <cellStyle name="Warning Text 3" xfId="88"/>
    <cellStyle name="Normal 19" xfId="89"/>
    <cellStyle name="Heading 1" xfId="90" builtinId="16"/>
    <cellStyle name="Heading 2" xfId="91" builtinId="17"/>
    <cellStyle name="Heading 3" xfId="92" builtinId="18"/>
    <cellStyle name="Heading 4" xfId="93" builtinId="19"/>
    <cellStyle name="Good" xfId="94" builtinId="26"/>
    <cellStyle name="Bad" xfId="95" builtinId="27"/>
    <cellStyle name="Input" xfId="96" builtinId="20"/>
    <cellStyle name="Output" xfId="97" builtinId="21"/>
    <cellStyle name="Calculation" xfId="98" builtinId="22"/>
    <cellStyle name="Linked Cell" xfId="99" builtinId="24"/>
    <cellStyle name="Check Cell" xfId="100" builtinId="23"/>
    <cellStyle name="Warning Text" xfId="101" builtinId="11"/>
    <cellStyle name="Note" xfId="102" builtinId="10"/>
    <cellStyle name="Explanatory Text" xfId="103" builtinId="53"/>
    <cellStyle name="Total" xfId="104" builtinId="25"/>
    <cellStyle name="Accent1" xfId="105" builtinId="29"/>
    <cellStyle name="20% - Accent1" xfId="106" builtinId="30"/>
    <cellStyle name="40% - Accent1" xfId="107" builtinId="31"/>
    <cellStyle name="Accent2" xfId="108" builtinId="33"/>
    <cellStyle name="20% - Accent2" xfId="109" builtinId="34"/>
    <cellStyle name="40% - Accent2" xfId="110" builtinId="35"/>
    <cellStyle name="Accent3" xfId="111" builtinId="37"/>
    <cellStyle name="20% - Accent3" xfId="112" builtinId="38"/>
    <cellStyle name="40% - Accent3" xfId="113" builtinId="39"/>
    <cellStyle name="Accent4" xfId="114" builtinId="41"/>
    <cellStyle name="20% - Accent4" xfId="115" builtinId="42"/>
    <cellStyle name="40% - Accent4" xfId="116" builtinId="43"/>
    <cellStyle name="Accent5" xfId="117" builtinId="45"/>
    <cellStyle name="20% - Accent5" xfId="118" builtinId="46"/>
    <cellStyle name="40% - Accent5" xfId="119" builtinId="47"/>
    <cellStyle name="Accent6" xfId="120" builtinId="49"/>
    <cellStyle name="20% - Accent6" xfId="121" builtinId="50"/>
    <cellStyle name="40% - Accent6" xfId="122" builtinId="51"/>
    <cellStyle name="Normal 36" xfId="123"/>
    <cellStyle name="Currency 2 2" xfId="124"/>
    <cellStyle name="Normal 3" xfId="125"/>
    <cellStyle name="Currency 12" xfId="126"/>
    <cellStyle name="Normal 19 2" xfId="127"/>
    <cellStyle name="Currency 10" xfId="128"/>
    <cellStyle name="20% - Accent1 2 5" xfId="129"/>
    <cellStyle name="20% - Accent1 3 5" xfId="130"/>
    <cellStyle name="20% - Accent2 2 5" xfId="131"/>
    <cellStyle name="20% - Accent2 3 5" xfId="132"/>
    <cellStyle name="20% - Accent3 2 5" xfId="133"/>
    <cellStyle name="20% - Accent3 3 5" xfId="134"/>
    <cellStyle name="20% - Accent4 2 5" xfId="135"/>
    <cellStyle name="20% - Accent4 3 5" xfId="136"/>
    <cellStyle name="20% - Accent5 2 5" xfId="137"/>
    <cellStyle name="20% - Accent5 3 5" xfId="138"/>
    <cellStyle name="20% - Accent6 2 5" xfId="139"/>
    <cellStyle name="20% - Accent6 3 5" xfId="140"/>
    <cellStyle name="40% - Accent1 2 5" xfId="141"/>
    <cellStyle name="40% - Accent1 3 5" xfId="142"/>
    <cellStyle name="40% - Accent2 2 5" xfId="143"/>
    <cellStyle name="40% - Accent2 3 5" xfId="144"/>
    <cellStyle name="40% - Accent3 2 5" xfId="145"/>
    <cellStyle name="40% - Accent3 3 5" xfId="146"/>
    <cellStyle name="40% - Accent4 2 5" xfId="147"/>
    <cellStyle name="40% - Accent4 3 5" xfId="148"/>
    <cellStyle name="40% - Accent5 2 5" xfId="149"/>
    <cellStyle name="40% - Accent5 3 5" xfId="150"/>
    <cellStyle name="40% - Accent6 2 5" xfId="151"/>
    <cellStyle name="40% - Accent6 3 5" xfId="152"/>
    <cellStyle name="60% - Accent1 2 5" xfId="153"/>
    <cellStyle name="60% - Accent1 3 5" xfId="154"/>
    <cellStyle name="60% - Accent2 2 5" xfId="155"/>
    <cellStyle name="60% - Accent2 3 5" xfId="156"/>
    <cellStyle name="60% - Accent3 2 5" xfId="157"/>
    <cellStyle name="60% - Accent3 3 5" xfId="158"/>
    <cellStyle name="60% - Accent4 2 5" xfId="159"/>
    <cellStyle name="60% - Accent4 3 5" xfId="160"/>
    <cellStyle name="60% - Accent5 2 5" xfId="161"/>
    <cellStyle name="60% - Accent5 3 5" xfId="162"/>
    <cellStyle name="60% - Accent6 2 5" xfId="163"/>
    <cellStyle name="60% - Accent6 3 5" xfId="164"/>
    <cellStyle name="Accent1 2 5" xfId="165"/>
    <cellStyle name="Accent1 3 5" xfId="166"/>
    <cellStyle name="Accent2 2 5" xfId="167"/>
    <cellStyle name="Accent2 3 5" xfId="168"/>
    <cellStyle name="Accent3 2 5" xfId="169"/>
    <cellStyle name="Accent3 3 5" xfId="170"/>
    <cellStyle name="Accent4 2 5" xfId="171"/>
    <cellStyle name="Accent4 3 5" xfId="172"/>
    <cellStyle name="Accent5 2 6" xfId="173"/>
    <cellStyle name="Accent5 3 5" xfId="174"/>
    <cellStyle name="Accent6 2 5" xfId="175"/>
    <cellStyle name="Accent6 3 5" xfId="176"/>
    <cellStyle name="Bad 2 5" xfId="177"/>
    <cellStyle name="Bad 3 5" xfId="178"/>
    <cellStyle name="Calculation 2 9" xfId="179"/>
    <cellStyle name="Calculation 3 9" xfId="180"/>
    <cellStyle name="Check Cell 2 5" xfId="181"/>
    <cellStyle name="Check Cell 3 5" xfId="182"/>
    <cellStyle name="Currency 4" xfId="183"/>
    <cellStyle name="Explanatory Text 2 5" xfId="184"/>
    <cellStyle name="Explanatory Text 3 5" xfId="185"/>
    <cellStyle name="Good 2 5" xfId="186"/>
    <cellStyle name="Good 3 5" xfId="187"/>
    <cellStyle name="Heading 1 2 6" xfId="188"/>
    <cellStyle name="Heading 1 3 6" xfId="189"/>
    <cellStyle name="Heading 2 2 6" xfId="190"/>
    <cellStyle name="Heading 2 3 6" xfId="191"/>
    <cellStyle name="Heading 3 2 5" xfId="192"/>
    <cellStyle name="Heading 3 3 5" xfId="193"/>
    <cellStyle name="Heading 4 2 5" xfId="194"/>
    <cellStyle name="Heading 4 3 5" xfId="195"/>
    <cellStyle name="Hyperlink 2" xfId="196"/>
    <cellStyle name="Input 2 9" xfId="197"/>
    <cellStyle name="Input 3 9" xfId="198"/>
    <cellStyle name="Linked Cell 2 5" xfId="199"/>
    <cellStyle name="Linked Cell 3 5" xfId="200"/>
    <cellStyle name="Neutral 2 5" xfId="201"/>
    <cellStyle name="Neutral 3 5" xfId="202"/>
    <cellStyle name="Normal 2 2" xfId="203"/>
    <cellStyle name="Note 2 10" xfId="204"/>
    <cellStyle name="Note 3 10" xfId="205"/>
    <cellStyle name="Output 2 9" xfId="206"/>
    <cellStyle name="Output 3 9" xfId="207"/>
    <cellStyle name="Title 2 5" xfId="208"/>
    <cellStyle name="Title 3 5" xfId="209"/>
    <cellStyle name="Total 2 9" xfId="210"/>
    <cellStyle name="Total 3 9" xfId="211"/>
    <cellStyle name="Warning Text 2 5" xfId="212"/>
    <cellStyle name="Warning Text 3 5" xfId="213"/>
    <cellStyle name="Currency 2 2 2" xfId="214"/>
    <cellStyle name="Normal 22" xfId="215"/>
    <cellStyle name="20% - Accent1 7" xfId="216"/>
    <cellStyle name="20% - Accent1 2 4" xfId="217"/>
    <cellStyle name="20% - Accent1 3 4" xfId="218"/>
    <cellStyle name="20% - Accent2 7" xfId="219"/>
    <cellStyle name="20% - Accent2 2 4" xfId="220"/>
    <cellStyle name="20% - Accent2 3 4" xfId="221"/>
    <cellStyle name="20% - Accent3 7" xfId="222"/>
    <cellStyle name="20% - Accent3 2 4" xfId="223"/>
    <cellStyle name="20% - Accent3 3 4" xfId="224"/>
    <cellStyle name="20% - Accent4 7" xfId="225"/>
    <cellStyle name="20% - Accent4 2 4" xfId="226"/>
    <cellStyle name="20% - Accent4 3 4" xfId="227"/>
    <cellStyle name="20% - Accent5 7" xfId="228"/>
    <cellStyle name="20% - Accent5 2 4" xfId="229"/>
    <cellStyle name="20% - Accent5 3 4" xfId="230"/>
    <cellStyle name="20% - Accent6 7" xfId="231"/>
    <cellStyle name="20% - Accent6 2 4" xfId="232"/>
    <cellStyle name="20% - Accent6 3 4" xfId="233"/>
    <cellStyle name="40% - Accent1 7" xfId="234"/>
    <cellStyle name="40% - Accent1 2 4" xfId="235"/>
    <cellStyle name="40% - Accent1 3 4" xfId="236"/>
    <cellStyle name="40% - Accent2 7" xfId="237"/>
    <cellStyle name="40% - Accent2 2 4" xfId="238"/>
    <cellStyle name="40% - Accent2 3 4" xfId="239"/>
    <cellStyle name="40% - Accent3 7" xfId="240"/>
    <cellStyle name="40% - Accent3 2 4" xfId="241"/>
    <cellStyle name="40% - Accent3 3 4" xfId="242"/>
    <cellStyle name="40% - Accent4 7" xfId="243"/>
    <cellStyle name="40% - Accent4 2 4" xfId="244"/>
    <cellStyle name="40% - Accent4 3 4" xfId="245"/>
    <cellStyle name="40% - Accent5 7" xfId="246"/>
    <cellStyle name="40% - Accent5 2 4" xfId="247"/>
    <cellStyle name="40% - Accent5 3 4" xfId="248"/>
    <cellStyle name="40% - Accent6 7" xfId="249"/>
    <cellStyle name="40% - Accent6 2 4" xfId="250"/>
    <cellStyle name="40% - Accent6 3 4" xfId="251"/>
    <cellStyle name="60% - Accent1 5" xfId="252"/>
    <cellStyle name="60% - Accent1 2 4" xfId="253"/>
    <cellStyle name="60% - Accent1 3 4" xfId="254"/>
    <cellStyle name="60% - Accent2 5" xfId="255"/>
    <cellStyle name="60% - Accent2 2 4" xfId="256"/>
    <cellStyle name="60% - Accent2 3 4" xfId="257"/>
    <cellStyle name="60% - Accent3 5" xfId="258"/>
    <cellStyle name="60% - Accent3 2 4" xfId="259"/>
    <cellStyle name="60% - Accent3 3 4" xfId="260"/>
    <cellStyle name="60% - Accent4 5" xfId="261"/>
    <cellStyle name="60% - Accent4 2 4" xfId="262"/>
    <cellStyle name="60% - Accent4 3 4" xfId="263"/>
    <cellStyle name="60% - Accent5 5" xfId="264"/>
    <cellStyle name="60% - Accent5 2 4" xfId="265"/>
    <cellStyle name="60% - Accent5 3 4" xfId="266"/>
    <cellStyle name="60% - Accent6 5" xfId="267"/>
    <cellStyle name="60% - Accent6 2 4" xfId="268"/>
    <cellStyle name="60% - Accent6 3 4" xfId="269"/>
    <cellStyle name="Accent1 5" xfId="270"/>
    <cellStyle name="Accent1 2 4" xfId="271"/>
    <cellStyle name="Accent1 3 4" xfId="272"/>
    <cellStyle name="Accent2 5" xfId="273"/>
    <cellStyle name="Accent2 2 4" xfId="274"/>
    <cellStyle name="Accent2 3 4" xfId="275"/>
    <cellStyle name="Accent3 5" xfId="276"/>
    <cellStyle name="Accent3 2 4" xfId="277"/>
    <cellStyle name="Accent3 3 4" xfId="278"/>
    <cellStyle name="Accent4 5" xfId="279"/>
    <cellStyle name="Accent4 2 4" xfId="280"/>
    <cellStyle name="Accent4 3 4" xfId="281"/>
    <cellStyle name="Accent5 5" xfId="282"/>
    <cellStyle name="Accent5 2 5" xfId="283"/>
    <cellStyle name="Accent5 3 4" xfId="284"/>
    <cellStyle name="Accent6 5" xfId="285"/>
    <cellStyle name="Accent6 2 4" xfId="286"/>
    <cellStyle name="Accent6 3 4" xfId="287"/>
    <cellStyle name="Bad 5" xfId="288"/>
    <cellStyle name="Bad 2 4" xfId="289"/>
    <cellStyle name="Bad 3 4" xfId="290"/>
    <cellStyle name="Calculation 5" xfId="291"/>
    <cellStyle name="Calculation 2 8" xfId="292"/>
    <cellStyle name="Calculation 3 8" xfId="293"/>
    <cellStyle name="Check Cell 5" xfId="294"/>
    <cellStyle name="Check Cell 2 4" xfId="295"/>
    <cellStyle name="Check Cell 3 4" xfId="296"/>
    <cellStyle name="Explanatory Text 5" xfId="297"/>
    <cellStyle name="Explanatory Text 2 4" xfId="298"/>
    <cellStyle name="Explanatory Text 3 4" xfId="299"/>
    <cellStyle name="Good 5" xfId="300"/>
    <cellStyle name="Good 2 4" xfId="301"/>
    <cellStyle name="Good 3 4" xfId="302"/>
    <cellStyle name="Heading 1 5" xfId="303"/>
    <cellStyle name="Heading 1 2 5" xfId="304"/>
    <cellStyle name="Heading 1 3 5" xfId="305"/>
    <cellStyle name="Heading 2 5" xfId="306"/>
    <cellStyle name="Heading 2 2 5" xfId="307"/>
    <cellStyle name="Heading 2 3 5" xfId="308"/>
    <cellStyle name="Heading 3 5" xfId="309"/>
    <cellStyle name="Heading 3 2 4" xfId="310"/>
    <cellStyle name="Heading 3 3 4" xfId="311"/>
    <cellStyle name="Heading 4 5" xfId="312"/>
    <cellStyle name="Heading 4 2 4" xfId="313"/>
    <cellStyle name="Heading 4 3 4" xfId="314"/>
    <cellStyle name="Hyperlink 2 5" xfId="315"/>
    <cellStyle name="Input 5" xfId="316"/>
    <cellStyle name="Input 2 8" xfId="317"/>
    <cellStyle name="Input 3 8" xfId="318"/>
    <cellStyle name="Linked Cell 5" xfId="319"/>
    <cellStyle name="Linked Cell 2 4" xfId="320"/>
    <cellStyle name="Linked Cell 3 4" xfId="321"/>
    <cellStyle name="Neutral 5" xfId="322"/>
    <cellStyle name="Neutral 2 4" xfId="323"/>
    <cellStyle name="Neutral 3 4" xfId="324"/>
    <cellStyle name="Normal 3 10" xfId="325"/>
    <cellStyle name="Note 7" xfId="326"/>
    <cellStyle name="Note 2 9" xfId="327"/>
    <cellStyle name="Note 3 9" xfId="328"/>
    <cellStyle name="Output 5" xfId="329"/>
    <cellStyle name="Output 2 8" xfId="330"/>
    <cellStyle name="Output 3 8" xfId="331"/>
    <cellStyle name="Title 5" xfId="332"/>
    <cellStyle name="Title 2 4" xfId="333"/>
    <cellStyle name="Title 3 4" xfId="334"/>
    <cellStyle name="Total 5" xfId="335"/>
    <cellStyle name="Total 2 8" xfId="336"/>
    <cellStyle name="Total 3 8" xfId="337"/>
    <cellStyle name="Warning Text 5" xfId="338"/>
    <cellStyle name="Warning Text 2 4" xfId="339"/>
    <cellStyle name="Warning Text 3 4" xfId="340"/>
    <cellStyle name="Normal 3 2" xfId="341"/>
    <cellStyle name="Currency 3 2" xfId="342"/>
    <cellStyle name="Normal 4" xfId="343"/>
    <cellStyle name="Normal 5" xfId="344"/>
    <cellStyle name="Normal 6" xfId="345"/>
    <cellStyle name="Normal 7" xfId="346"/>
    <cellStyle name="Normal 8" xfId="347"/>
    <cellStyle name="Normal 2 2 4" xfId="348"/>
    <cellStyle name="20% - Accent1 2 2" xfId="349"/>
    <cellStyle name="20% - Accent2 2 2" xfId="350"/>
    <cellStyle name="20% - Accent3 2 2" xfId="351"/>
    <cellStyle name="20% - Accent4 2 2" xfId="352"/>
    <cellStyle name="20% - Accent5 2 2" xfId="353"/>
    <cellStyle name="20% - Accent6 2 2" xfId="354"/>
    <cellStyle name="40% - Accent1 2 2" xfId="355"/>
    <cellStyle name="40% - Accent2 2 2" xfId="356"/>
    <cellStyle name="40% - Accent3 2 2" xfId="357"/>
    <cellStyle name="40% - Accent4 2 2" xfId="358"/>
    <cellStyle name="40% - Accent5 2 2" xfId="359"/>
    <cellStyle name="40% - Accent6 2 2" xfId="360"/>
    <cellStyle name="60% - Accent1 2 2" xfId="361"/>
    <cellStyle name="60% - Accent2 2 2" xfId="362"/>
    <cellStyle name="60% - Accent3 2 2" xfId="363"/>
    <cellStyle name="60% - Accent4 2 2" xfId="364"/>
    <cellStyle name="60% - Accent5 2 2" xfId="365"/>
    <cellStyle name="60% - Accent6 2 2" xfId="366"/>
    <cellStyle name="Accent1 2 2" xfId="367"/>
    <cellStyle name="Accent2 2 2" xfId="368"/>
    <cellStyle name="Accent3 2 2" xfId="369"/>
    <cellStyle name="Accent4 2 2" xfId="370"/>
    <cellStyle name="Accent5 2 2" xfId="371"/>
    <cellStyle name="Accent6 2 2" xfId="372"/>
    <cellStyle name="Bad 2 2" xfId="373"/>
    <cellStyle name="Calculation 2 6" xfId="374"/>
    <cellStyle name="Check Cell 2 2" xfId="375"/>
    <cellStyle name="20% - Accent1 3 2" xfId="376"/>
    <cellStyle name="Explanatory Text 2 2" xfId="377"/>
    <cellStyle name="Good 2 2" xfId="378"/>
    <cellStyle name="Heading 1 2 3" xfId="379"/>
    <cellStyle name="Heading 2 2 3" xfId="380"/>
    <cellStyle name="Heading 3 2 2" xfId="381"/>
    <cellStyle name="Heading 4 2 2" xfId="382"/>
    <cellStyle name="Input 2 6" xfId="383"/>
    <cellStyle name="Linked Cell 2 2" xfId="384"/>
    <cellStyle name="Neutral 2 2" xfId="385"/>
    <cellStyle name="Note 2 6" xfId="386"/>
    <cellStyle name="Output 2 6" xfId="387"/>
    <cellStyle name="Title 2 2" xfId="388"/>
    <cellStyle name="Total 2 6" xfId="389"/>
    <cellStyle name="Warning Text 2 2" xfId="390"/>
    <cellStyle name="20% - Accent2 3 2" xfId="391"/>
    <cellStyle name="20% - Accent3 3 2" xfId="392"/>
    <cellStyle name="20% - Accent4 3 2" xfId="393"/>
    <cellStyle name="20% - Accent5 3 2" xfId="394"/>
    <cellStyle name="20% - Accent6 3 2" xfId="395"/>
    <cellStyle name="40% - Accent1 3 2" xfId="396"/>
    <cellStyle name="40% - Accent2 3 2" xfId="397"/>
    <cellStyle name="40% - Accent3 3 2" xfId="398"/>
    <cellStyle name="40% - Accent4 3 2" xfId="399"/>
    <cellStyle name="40% - Accent5 3 2" xfId="400"/>
    <cellStyle name="40% - Accent6 3 2" xfId="401"/>
    <cellStyle name="60% - Accent1 3 2" xfId="402"/>
    <cellStyle name="60% - Accent2 3 2" xfId="403"/>
    <cellStyle name="60% - Accent3 3 2" xfId="404"/>
    <cellStyle name="60% - Accent4 3 2" xfId="405"/>
    <cellStyle name="60% - Accent5 3 2" xfId="406"/>
    <cellStyle name="60% - Accent6 3 2" xfId="407"/>
    <cellStyle name="Accent1 3 2" xfId="408"/>
    <cellStyle name="Accent2 3 2" xfId="409"/>
    <cellStyle name="Accent3 3 2" xfId="410"/>
    <cellStyle name="Accent4 3 2" xfId="411"/>
    <cellStyle name="Accent5 3 2" xfId="412"/>
    <cellStyle name="Accent6 3 2" xfId="413"/>
    <cellStyle name="Bad 3 2" xfId="414"/>
    <cellStyle name="Calculation 3 6" xfId="415"/>
    <cellStyle name="Check Cell 3 2" xfId="416"/>
    <cellStyle name="Explanatory Text 3 2" xfId="417"/>
    <cellStyle name="Good 3 2" xfId="418"/>
    <cellStyle name="Heading 1 3 3" xfId="419"/>
    <cellStyle name="Heading 2 3 3" xfId="420"/>
    <cellStyle name="Heading 3 3 2" xfId="421"/>
    <cellStyle name="Heading 4 3 2" xfId="422"/>
    <cellStyle name="Input 3 6" xfId="423"/>
    <cellStyle name="Linked Cell 3 2" xfId="424"/>
    <cellStyle name="Neutral 3 2" xfId="425"/>
    <cellStyle name="Note 3 6" xfId="426"/>
    <cellStyle name="Output 3 6" xfId="427"/>
    <cellStyle name="Title 3 2" xfId="428"/>
    <cellStyle name="Total 3 6" xfId="429"/>
    <cellStyle name="Warning Text 3 2" xfId="430"/>
    <cellStyle name="Normal 3 5" xfId="431"/>
    <cellStyle name="Normal 3 2 3" xfId="432"/>
    <cellStyle name="Hyperlink 2 3" xfId="433"/>
    <cellStyle name="Normal 3 3" xfId="434"/>
    <cellStyle name="Normal 4 4" xfId="435"/>
    <cellStyle name="Currency 5" xfId="436"/>
    <cellStyle name="Title 4" xfId="437"/>
    <cellStyle name="Heading 1 4" xfId="438"/>
    <cellStyle name="Heading 2 4" xfId="439"/>
    <cellStyle name="Heading 3 4" xfId="440"/>
    <cellStyle name="Heading 4 4" xfId="441"/>
    <cellStyle name="Good 4" xfId="442"/>
    <cellStyle name="Bad 4" xfId="443"/>
    <cellStyle name="Neutral 4" xfId="444"/>
    <cellStyle name="Input 4" xfId="445"/>
    <cellStyle name="Output 4" xfId="446"/>
    <cellStyle name="Calculation 4" xfId="447"/>
    <cellStyle name="Linked Cell 4" xfId="448"/>
    <cellStyle name="Check Cell 4" xfId="449"/>
    <cellStyle name="Warning Text 4" xfId="450"/>
    <cellStyle name="Note 4" xfId="451"/>
    <cellStyle name="Explanatory Text 4" xfId="452"/>
    <cellStyle name="Total 4" xfId="453"/>
    <cellStyle name="Accent1 4" xfId="454"/>
    <cellStyle name="20% - Accent1 4" xfId="455"/>
    <cellStyle name="40% - Accent1 4" xfId="456"/>
    <cellStyle name="60% - Accent1 4" xfId="457"/>
    <cellStyle name="Accent2 4" xfId="458"/>
    <cellStyle name="20% - Accent2 4" xfId="459"/>
    <cellStyle name="40% - Accent2 4" xfId="460"/>
    <cellStyle name="60% - Accent2 4" xfId="461"/>
    <cellStyle name="Accent3 4" xfId="462"/>
    <cellStyle name="20% - Accent3 4" xfId="463"/>
    <cellStyle name="40% - Accent3 4" xfId="464"/>
    <cellStyle name="60% - Accent3 4" xfId="465"/>
    <cellStyle name="Accent4 4" xfId="466"/>
    <cellStyle name="20% - Accent4 4" xfId="467"/>
    <cellStyle name="40% - Accent4 4" xfId="468"/>
    <cellStyle name="60% - Accent4 4" xfId="469"/>
    <cellStyle name="Accent5 4" xfId="470"/>
    <cellStyle name="20% - Accent5 4" xfId="471"/>
    <cellStyle name="40% - Accent5 4" xfId="472"/>
    <cellStyle name="60% - Accent5 4" xfId="473"/>
    <cellStyle name="Accent6 4" xfId="474"/>
    <cellStyle name="20% - Accent6 4" xfId="475"/>
    <cellStyle name="40% - Accent6 4" xfId="476"/>
    <cellStyle name="60% - Accent6 4" xfId="477"/>
    <cellStyle name="Normal 5 4" xfId="478"/>
    <cellStyle name="Note 2 2" xfId="479"/>
    <cellStyle name="Input 3 3" xfId="480"/>
    <cellStyle name="Input 2 3" xfId="481"/>
    <cellStyle name="Calculation 3 3" xfId="482"/>
    <cellStyle name="Calculation 2 3" xfId="483"/>
    <cellStyle name="Calculation 2 2" xfId="484"/>
    <cellStyle name="Calculation 3 2" xfId="485"/>
    <cellStyle name="Heading 1 2 2" xfId="486"/>
    <cellStyle name="Heading 1 3 2" xfId="487"/>
    <cellStyle name="Heading 2 2 2" xfId="488"/>
    <cellStyle name="Heading 2 3 2" xfId="489"/>
    <cellStyle name="Input 2 2" xfId="490"/>
    <cellStyle name="Input 3 2" xfId="491"/>
    <cellStyle name="Note 3 2" xfId="492"/>
    <cellStyle name="Output 2 2" xfId="493"/>
    <cellStyle name="Output 3 2" xfId="494"/>
    <cellStyle name="Total 2 2" xfId="495"/>
    <cellStyle name="Total 3 2" xfId="496"/>
    <cellStyle name="Currency 4 2" xfId="497"/>
    <cellStyle name="Note 2 3" xfId="498"/>
    <cellStyle name="Note 3 3" xfId="499"/>
    <cellStyle name="Output 2 3" xfId="500"/>
    <cellStyle name="Output 3 3" xfId="501"/>
    <cellStyle name="Total 2 3" xfId="502"/>
    <cellStyle name="Total 3 3" xfId="503"/>
    <cellStyle name="Normal 4 2" xfId="504"/>
    <cellStyle name="Normal 5 2" xfId="505"/>
    <cellStyle name="Note 2 2 2" xfId="506"/>
    <cellStyle name="Calculation 2 2 2" xfId="507"/>
    <cellStyle name="Calculation 3 2 2" xfId="508"/>
    <cellStyle name="Input 2 2 2" xfId="509"/>
    <cellStyle name="Input 3 2 2" xfId="510"/>
    <cellStyle name="Note 3 2 2" xfId="511"/>
    <cellStyle name="Output 2 2 2" xfId="512"/>
    <cellStyle name="Output 3 2 2" xfId="513"/>
    <cellStyle name="Total 2 2 2" xfId="514"/>
    <cellStyle name="Total 3 2 2" xfId="515"/>
    <cellStyle name="Note 2 4" xfId="516"/>
    <cellStyle name="Calculation 2 4" xfId="517"/>
    <cellStyle name="Calculation 3 4" xfId="518"/>
    <cellStyle name="Input 3 4" xfId="519"/>
    <cellStyle name="Note 3 4" xfId="520"/>
    <cellStyle name="Total 2 4" xfId="521"/>
    <cellStyle name="Total 3 4" xfId="522"/>
    <cellStyle name="Output 2 4" xfId="523"/>
    <cellStyle name="Output 3 4" xfId="524"/>
    <cellStyle name="Input 2 4" xfId="525"/>
    <cellStyle name="Normal 6 4" xfId="526"/>
    <cellStyle name="Normal 3 2 2" xfId="527"/>
    <cellStyle name="Normal 4 3" xfId="528"/>
    <cellStyle name="Input 2 5" xfId="529"/>
    <cellStyle name="Input 3 5" xfId="530"/>
    <cellStyle name="Note 2 5" xfId="531"/>
    <cellStyle name="Note 3 5" xfId="532"/>
    <cellStyle name="Output 2 5" xfId="533"/>
    <cellStyle name="Total 2 5" xfId="534"/>
    <cellStyle name="Total 3 5" xfId="535"/>
    <cellStyle name="Output 3 5" xfId="536"/>
    <cellStyle name="Calculation 3 5" xfId="537"/>
    <cellStyle name="Calculation 2 5" xfId="538"/>
    <cellStyle name="Normal 3 4" xfId="539"/>
    <cellStyle name="Hyperlink 2 2" xfId="540"/>
    <cellStyle name="Normal 5 3" xfId="541"/>
    <cellStyle name="Normal 6 2" xfId="542"/>
    <cellStyle name="Normal 6 3" xfId="543"/>
    <cellStyle name="Currency 3 2 2" xfId="544"/>
    <cellStyle name="Normal 11" xfId="545"/>
    <cellStyle name="Normal 9" xfId="546"/>
    <cellStyle name="Normal 3 6" xfId="547"/>
    <cellStyle name="Normal 3 2 4" xfId="548"/>
    <cellStyle name="Normal 4 5" xfId="549"/>
    <cellStyle name="Normal 5 5" xfId="550"/>
    <cellStyle name="Normal 6 5" xfId="551"/>
    <cellStyle name="Normal 7 2" xfId="552"/>
    <cellStyle name="Normal 8 2" xfId="553"/>
    <cellStyle name="Normal 3 3 2" xfId="554"/>
    <cellStyle name="Currency 5 2" xfId="555"/>
    <cellStyle name="Note 4 2" xfId="556"/>
    <cellStyle name="20% - Accent1 4 2" xfId="557"/>
    <cellStyle name="40% - Accent1 4 2" xfId="558"/>
    <cellStyle name="20% - Accent2 4 2" xfId="559"/>
    <cellStyle name="40% - Accent2 4 2" xfId="560"/>
    <cellStyle name="20% - Accent3 4 2" xfId="561"/>
    <cellStyle name="40% - Accent3 4 2" xfId="562"/>
    <cellStyle name="20% - Accent4 4 2" xfId="563"/>
    <cellStyle name="40% - Accent4 4 2" xfId="564"/>
    <cellStyle name="20% - Accent5 4 2" xfId="565"/>
    <cellStyle name="40% - Accent5 4 2" xfId="566"/>
    <cellStyle name="20% - Accent6 4 2" xfId="567"/>
    <cellStyle name="40% - Accent6 4 2" xfId="568"/>
    <cellStyle name="Currency 4 2 2" xfId="569"/>
    <cellStyle name="Normal 3 2 2 2" xfId="570"/>
    <cellStyle name="Normal 4 3 2" xfId="571"/>
    <cellStyle name="Normal 5 3 2" xfId="572"/>
    <cellStyle name="Normal 6 2 2" xfId="573"/>
    <cellStyle name="Normal 9 2" xfId="574"/>
    <cellStyle name="Normal 12" xfId="575"/>
    <cellStyle name="Normal 3 7" xfId="576"/>
    <cellStyle name="Currency 3 5" xfId="577"/>
    <cellStyle name="Accent5 2 3" xfId="578"/>
    <cellStyle name="Currency 3 2 3" xfId="579"/>
    <cellStyle name="Normal 3 2 5" xfId="580"/>
    <cellStyle name="Normal 3 3 3" xfId="581"/>
    <cellStyle name="Currency 3 3" xfId="582"/>
    <cellStyle name="Normal 3 2 2 3" xfId="583"/>
    <cellStyle name="Normal 4 6" xfId="584"/>
    <cellStyle name="Currency 5 3" xfId="585"/>
    <cellStyle name="Normal 5 6" xfId="586"/>
    <cellStyle name="Currency 6" xfId="587"/>
    <cellStyle name="Normal 6 6" xfId="588"/>
    <cellStyle name="Currency 7" xfId="589"/>
    <cellStyle name="Normal 7 3" xfId="590"/>
    <cellStyle name="Currency 8" xfId="591"/>
    <cellStyle name="Normal 8 3" xfId="592"/>
    <cellStyle name="Currency 9" xfId="593"/>
    <cellStyle name="Normal 9 3" xfId="594"/>
    <cellStyle name="Normal 10" xfId="595"/>
    <cellStyle name="Currency 11" xfId="596"/>
    <cellStyle name="Normal 3 4 2" xfId="597"/>
    <cellStyle name="Currency 3 4" xfId="598"/>
    <cellStyle name="Normal 3 2 3 2" xfId="599"/>
    <cellStyle name="Normal 3 3 2 2" xfId="600"/>
    <cellStyle name="Currency 3 3 2" xfId="601"/>
    <cellStyle name="Normal 3 2 2 2 2" xfId="602"/>
    <cellStyle name="Normal 4 2 2" xfId="603"/>
    <cellStyle name="Currency 5 2 2" xfId="604"/>
    <cellStyle name="Normal 5 2 2" xfId="605"/>
    <cellStyle name="Currency 6 2" xfId="606"/>
    <cellStyle name="Normal 6 2 3" xfId="607"/>
    <cellStyle name="Currency 7 2" xfId="608"/>
    <cellStyle name="Normal 7 2 2" xfId="609"/>
    <cellStyle name="Currency 8 2" xfId="610"/>
    <cellStyle name="Normal 8 2 2" xfId="611"/>
    <cellStyle name="Currency 9 2" xfId="612"/>
    <cellStyle name="Normal 9 2 2" xfId="613"/>
    <cellStyle name="Currency 10 2" xfId="614"/>
    <cellStyle name="Normal 10 2" xfId="615"/>
    <cellStyle name="Currency 11 2" xfId="616"/>
    <cellStyle name="Normal 13" xfId="617"/>
    <cellStyle name="Normal 2 2 2" xfId="618"/>
    <cellStyle name="Normal 14" xfId="619"/>
    <cellStyle name="Normal 15" xfId="620"/>
    <cellStyle name="Normal 3 8" xfId="621"/>
    <cellStyle name="Currency 3 6" xfId="622"/>
    <cellStyle name="Normal 3 2 6" xfId="623"/>
    <cellStyle name="Normal 16" xfId="624"/>
    <cellStyle name="Normal 3 3 4" xfId="625"/>
    <cellStyle name="Currency 3 3 3" xfId="626"/>
    <cellStyle name="Normal 3 2 2 4" xfId="627"/>
    <cellStyle name="Normal 4 7" xfId="628"/>
    <cellStyle name="Currency 5 4" xfId="629"/>
    <cellStyle name="Normal 5 7" xfId="630"/>
    <cellStyle name="Currency 6 3" xfId="631"/>
    <cellStyle name="Normal 6 7" xfId="632"/>
    <cellStyle name="Currency 7 3" xfId="633"/>
    <cellStyle name="Normal 7 4" xfId="634"/>
    <cellStyle name="Currency 8 3" xfId="635"/>
    <cellStyle name="Normal 8 4" xfId="636"/>
    <cellStyle name="Currency 9 3" xfId="637"/>
    <cellStyle name="Normal 9 4" xfId="638"/>
    <cellStyle name="Currency 10 3" xfId="639"/>
    <cellStyle name="Normal 10 3" xfId="640"/>
    <cellStyle name="Currency 11 3" xfId="641"/>
    <cellStyle name="Normal 3 4 3" xfId="642"/>
    <cellStyle name="Currency 3 4 2" xfId="643"/>
    <cellStyle name="Normal 3 2 3 3" xfId="644"/>
    <cellStyle name="Normal 3 3 2 3" xfId="645"/>
    <cellStyle name="Currency 3 3 2 2" xfId="646"/>
    <cellStyle name="Normal 3 2 2 2 3" xfId="647"/>
    <cellStyle name="Normal 4 2 3" xfId="648"/>
    <cellStyle name="Currency 5 2 3" xfId="649"/>
    <cellStyle name="Normal 5 2 3" xfId="650"/>
    <cellStyle name="Currency 6 2 2" xfId="651"/>
    <cellStyle name="Normal 6 2 4" xfId="652"/>
    <cellStyle name="Currency 7 2 2" xfId="653"/>
    <cellStyle name="Normal 7 2 3" xfId="654"/>
    <cellStyle name="Currency 8 2 2" xfId="655"/>
    <cellStyle name="Normal 8 2 3" xfId="656"/>
    <cellStyle name="Currency 9 2 2" xfId="657"/>
    <cellStyle name="Normal 9 2 3" xfId="658"/>
    <cellStyle name="Currency 10 2 2" xfId="659"/>
    <cellStyle name="Normal 10 2 2" xfId="660"/>
    <cellStyle name="Currency 11 2 2" xfId="661"/>
    <cellStyle name="Normal 17" xfId="662"/>
    <cellStyle name="Normal 3 3 5" xfId="663"/>
    <cellStyle name="Currency 5 5" xfId="664"/>
    <cellStyle name="Note 5" xfId="665"/>
    <cellStyle name="20% - Accent1 5" xfId="666"/>
    <cellStyle name="40% - Accent1 5" xfId="667"/>
    <cellStyle name="20% - Accent2 5" xfId="668"/>
    <cellStyle name="40% - Accent2 5" xfId="669"/>
    <cellStyle name="20% - Accent3 5" xfId="670"/>
    <cellStyle name="40% - Accent3 5" xfId="671"/>
    <cellStyle name="20% - Accent4 5" xfId="672"/>
    <cellStyle name="40% - Accent4 5" xfId="673"/>
    <cellStyle name="20% - Accent5 5" xfId="674"/>
    <cellStyle name="40% - Accent5 5" xfId="675"/>
    <cellStyle name="20% - Accent6 5" xfId="676"/>
    <cellStyle name="40% - Accent6 5" xfId="677"/>
    <cellStyle name="Currency 4 2 3" xfId="678"/>
    <cellStyle name="Normal 3 2 2 5" xfId="679"/>
    <cellStyle name="Normal 4 3 3" xfId="680"/>
    <cellStyle name="Normal 5 3 3" xfId="681"/>
    <cellStyle name="Normal 6 2 5" xfId="682"/>
    <cellStyle name="Calculation 2 2 3" xfId="683"/>
    <cellStyle name="Calculation 3 2 3" xfId="684"/>
    <cellStyle name="Input 2 2 3" xfId="685"/>
    <cellStyle name="Input 3 2 3" xfId="686"/>
    <cellStyle name="Note 2 2 3" xfId="687"/>
    <cellStyle name="Note 3 2 3" xfId="688"/>
    <cellStyle name="Output 2 2 3" xfId="689"/>
    <cellStyle name="Output 3 2 3" xfId="690"/>
    <cellStyle name="Total 2 2 3" xfId="691"/>
    <cellStyle name="Total 3 2 3" xfId="692"/>
    <cellStyle name="Input 3 3 2" xfId="693"/>
    <cellStyle name="Input 2 3 2" xfId="694"/>
    <cellStyle name="Calculation 3 3 2" xfId="695"/>
    <cellStyle name="Calculation 2 3 2" xfId="696"/>
    <cellStyle name="Note 2 3 2" xfId="697"/>
    <cellStyle name="Note 3 3 2" xfId="698"/>
    <cellStyle name="Output 2 3 2" xfId="699"/>
    <cellStyle name="Output 3 3 2" xfId="700"/>
    <cellStyle name="Total 2 3 2" xfId="701"/>
    <cellStyle name="Total 3 3 2" xfId="702"/>
    <cellStyle name="Note 2 2 2 2" xfId="703"/>
    <cellStyle name="Calculation 2 2 2 2" xfId="704"/>
    <cellStyle name="Calculation 3 2 2 2" xfId="705"/>
    <cellStyle name="Input 2 2 2 2" xfId="706"/>
    <cellStyle name="Input 3 2 2 2" xfId="707"/>
    <cellStyle name="Note 3 2 2 2" xfId="708"/>
    <cellStyle name="Output 2 2 2 2" xfId="709"/>
    <cellStyle name="Output 3 2 2 2" xfId="710"/>
    <cellStyle name="Total 2 2 2 2" xfId="711"/>
    <cellStyle name="Total 3 2 2 2" xfId="712"/>
    <cellStyle name="Note 2 4 2" xfId="713"/>
    <cellStyle name="Calculation 2 4 2" xfId="714"/>
    <cellStyle name="Calculation 3 4 2" xfId="715"/>
    <cellStyle name="Input 3 4 2" xfId="716"/>
    <cellStyle name="Note 3 4 2" xfId="717"/>
    <cellStyle name="Total 2 4 2" xfId="718"/>
    <cellStyle name="Total 3 4 2" xfId="719"/>
    <cellStyle name="Output 2 4 2" xfId="720"/>
    <cellStyle name="Output 3 4 2" xfId="721"/>
    <cellStyle name="Input 2 4 2" xfId="722"/>
    <cellStyle name="Normal 12 5" xfId="723"/>
    <cellStyle name="Normal 14 2" xfId="724"/>
    <cellStyle name="Normal 12 2" xfId="725"/>
    <cellStyle name="Normal 13 2" xfId="726"/>
    <cellStyle name="Normal 15 2" xfId="727"/>
    <cellStyle name="Normal 12 3" xfId="728"/>
    <cellStyle name="Normal 12 4" xfId="729"/>
    <cellStyle name="Normal 18" xfId="730"/>
    <cellStyle name="Note 6" xfId="731"/>
    <cellStyle name="20% - Accent1 6" xfId="732"/>
    <cellStyle name="40% - Accent1 6" xfId="733"/>
    <cellStyle name="20% - Accent2 6" xfId="734"/>
    <cellStyle name="40% - Accent2 6" xfId="735"/>
    <cellStyle name="20% - Accent3 6" xfId="736"/>
    <cellStyle name="40% - Accent3 6" xfId="737"/>
    <cellStyle name="20% - Accent4 6" xfId="738"/>
    <cellStyle name="40% - Accent4 6" xfId="739"/>
    <cellStyle name="20% - Accent5 6" xfId="740"/>
    <cellStyle name="40% - Accent5 6" xfId="741"/>
    <cellStyle name="20% - Accent6 6" xfId="742"/>
    <cellStyle name="40% - Accent6 6" xfId="743"/>
    <cellStyle name="Normal 20" xfId="744"/>
    <cellStyle name="20% - Accent1 2 3" xfId="745"/>
    <cellStyle name="20% - Accent1 3 3" xfId="746"/>
    <cellStyle name="20% - Accent2 2 3" xfId="747"/>
    <cellStyle name="20% - Accent2 3 3" xfId="748"/>
    <cellStyle name="20% - Accent3 2 3" xfId="749"/>
    <cellStyle name="20% - Accent3 3 3" xfId="750"/>
    <cellStyle name="20% - Accent4 2 3" xfId="751"/>
    <cellStyle name="20% - Accent4 3 3" xfId="752"/>
    <cellStyle name="20% - Accent5 2 3" xfId="753"/>
    <cellStyle name="20% - Accent5 3 3" xfId="754"/>
    <cellStyle name="20% - Accent6 2 3" xfId="755"/>
    <cellStyle name="20% - Accent6 3 3" xfId="756"/>
    <cellStyle name="40% - Accent1 2 3" xfId="757"/>
    <cellStyle name="40% - Accent1 3 3" xfId="758"/>
    <cellStyle name="40% - Accent2 2 3" xfId="759"/>
    <cellStyle name="40% - Accent2 3 3" xfId="760"/>
    <cellStyle name="40% - Accent3 2 3" xfId="761"/>
    <cellStyle name="40% - Accent3 3 3" xfId="762"/>
    <cellStyle name="40% - Accent4 2 3" xfId="763"/>
    <cellStyle name="40% - Accent4 3 3" xfId="764"/>
    <cellStyle name="40% - Accent5 2 3" xfId="765"/>
    <cellStyle name="40% - Accent5 3 3" xfId="766"/>
    <cellStyle name="40% - Accent6 2 3" xfId="767"/>
    <cellStyle name="40% - Accent6 3 3" xfId="768"/>
    <cellStyle name="60% - Accent1 2 3" xfId="769"/>
    <cellStyle name="60% - Accent1 3 3" xfId="770"/>
    <cellStyle name="60% - Accent2 2 3" xfId="771"/>
    <cellStyle name="60% - Accent2 3 3" xfId="772"/>
    <cellStyle name="60% - Accent3 2 3" xfId="773"/>
    <cellStyle name="60% - Accent3 3 3" xfId="774"/>
    <cellStyle name="60% - Accent4 2 3" xfId="775"/>
    <cellStyle name="60% - Accent4 3 3" xfId="776"/>
    <cellStyle name="60% - Accent5 2 3" xfId="777"/>
    <cellStyle name="60% - Accent5 3 3" xfId="778"/>
    <cellStyle name="60% - Accent6 2 3" xfId="779"/>
    <cellStyle name="60% - Accent6 3 3" xfId="780"/>
    <cellStyle name="Accent1 2 3" xfId="781"/>
    <cellStyle name="Accent1 3 3" xfId="782"/>
    <cellStyle name="Accent2 2 3" xfId="783"/>
    <cellStyle name="Accent2 3 3" xfId="784"/>
    <cellStyle name="Accent3 2 3" xfId="785"/>
    <cellStyle name="Accent3 3 3" xfId="786"/>
    <cellStyle name="Accent4 2 3" xfId="787"/>
    <cellStyle name="Accent4 3 3" xfId="788"/>
    <cellStyle name="Accent5 2 4" xfId="789"/>
    <cellStyle name="Accent5 3 3" xfId="790"/>
    <cellStyle name="Accent6 2 3" xfId="791"/>
    <cellStyle name="Accent6 3 3" xfId="792"/>
    <cellStyle name="Bad 2 3" xfId="793"/>
    <cellStyle name="Bad 3 3" xfId="794"/>
    <cellStyle name="Calculation 2 7" xfId="795"/>
    <cellStyle name="Calculation 3 7" xfId="796"/>
    <cellStyle name="Check Cell 2 3" xfId="797"/>
    <cellStyle name="Check Cell 3 3" xfId="798"/>
    <cellStyle name="Currency 2 3" xfId="799"/>
    <cellStyle name="Currency 3 7" xfId="800"/>
    <cellStyle name="Explanatory Text 2 3" xfId="801"/>
    <cellStyle name="Explanatory Text 3 3" xfId="802"/>
    <cellStyle name="Good 2 3" xfId="803"/>
    <cellStyle name="Good 3 3" xfId="804"/>
    <cellStyle name="Heading 1 2 4" xfId="805"/>
    <cellStyle name="Heading 1 3 4" xfId="806"/>
    <cellStyle name="Heading 2 2 4" xfId="807"/>
    <cellStyle name="Heading 2 3 4" xfId="808"/>
    <cellStyle name="Heading 3 2 3" xfId="809"/>
    <cellStyle name="Heading 3 3 3" xfId="810"/>
    <cellStyle name="Heading 4 2 3" xfId="811"/>
    <cellStyle name="Heading 4 3 3" xfId="812"/>
    <cellStyle name="Input 2 7" xfId="813"/>
    <cellStyle name="Input 3 7" xfId="814"/>
    <cellStyle name="Linked Cell 2 3" xfId="815"/>
    <cellStyle name="Linked Cell 3 3" xfId="816"/>
    <cellStyle name="Neutral 2 3" xfId="817"/>
    <cellStyle name="Neutral 3 3" xfId="818"/>
    <cellStyle name="Normal 2 3" xfId="819"/>
    <cellStyle name="Note 2 7" xfId="820"/>
    <cellStyle name="Note 3 7" xfId="821"/>
    <cellStyle name="Output 2 7" xfId="822"/>
    <cellStyle name="Output 3 7" xfId="823"/>
    <cellStyle name="Title 2 3" xfId="824"/>
    <cellStyle name="Title 3 3" xfId="825"/>
    <cellStyle name="Total 2 7" xfId="826"/>
    <cellStyle name="Total 3 7" xfId="827"/>
    <cellStyle name="Warning Text 2 3" xfId="828"/>
    <cellStyle name="Warning Text 3 3" xfId="829"/>
    <cellStyle name="Normal 2 2 3" xfId="830"/>
    <cellStyle name="Normal 21" xfId="831"/>
    <cellStyle name="Title 6" xfId="832"/>
    <cellStyle name="Neutral 6" xfId="833"/>
    <cellStyle name="60% - Accent1 6" xfId="834"/>
    <cellStyle name="60% - Accent2 6" xfId="835"/>
    <cellStyle name="60% - Accent3 6" xfId="836"/>
    <cellStyle name="60% - Accent4 6" xfId="837"/>
    <cellStyle name="60% - Accent5 6" xfId="838"/>
    <cellStyle name="60% - Accent6 6" xfId="839"/>
    <cellStyle name="Normal 3 9" xfId="840"/>
    <cellStyle name="Normal 3 2 7" xfId="841"/>
    <cellStyle name="Hyperlink 2 4" xfId="842"/>
    <cellStyle name="Normal 3 3 6" xfId="843"/>
    <cellStyle name="Normal 4 8" xfId="844"/>
    <cellStyle name="Normal 5 8" xfId="845"/>
    <cellStyle name="Note 2 2 4" xfId="846"/>
    <cellStyle name="Input 3 3 3" xfId="847"/>
    <cellStyle name="Input 2 3 3" xfId="848"/>
    <cellStyle name="Calculation 3 3 3" xfId="849"/>
    <cellStyle name="Calculation 2 3 3" xfId="850"/>
    <cellStyle name="Calculation 2 2 4" xfId="851"/>
    <cellStyle name="Calculation 3 2 4" xfId="852"/>
    <cellStyle name="Heading 1 2 2 2" xfId="853"/>
    <cellStyle name="Heading 1 3 2 2" xfId="854"/>
    <cellStyle name="Heading 2 2 2 2" xfId="855"/>
    <cellStyle name="Heading 2 3 2 2" xfId="856"/>
    <cellStyle name="Input 2 2 4" xfId="857"/>
    <cellStyle name="Input 3 2 4" xfId="858"/>
    <cellStyle name="Note 3 2 4" xfId="859"/>
    <cellStyle name="Output 2 2 4" xfId="860"/>
    <cellStyle name="Output 3 2 4" xfId="861"/>
    <cellStyle name="Total 2 2 4" xfId="862"/>
    <cellStyle name="Total 3 2 4" xfId="863"/>
    <cellStyle name="Note 2 3 3" xfId="864"/>
    <cellStyle name="Note 3 3 3" xfId="865"/>
    <cellStyle name="Output 2 3 3" xfId="866"/>
    <cellStyle name="Output 3 3 3" xfId="867"/>
    <cellStyle name="Total 2 3 3" xfId="868"/>
    <cellStyle name="Total 3 3 3" xfId="869"/>
    <cellStyle name="Normal 4 2 4" xfId="870"/>
    <cellStyle name="Normal 5 2 4" xfId="871"/>
    <cellStyle name="Note 2 2 2 3" xfId="872"/>
    <cellStyle name="Calculation 2 2 2 3" xfId="873"/>
    <cellStyle name="Calculation 3 2 2 3" xfId="874"/>
    <cellStyle name="Input 2 2 2 3" xfId="875"/>
    <cellStyle name="Input 3 2 2 3" xfId="876"/>
    <cellStyle name="Note 3 2 2 3" xfId="877"/>
    <cellStyle name="Output 2 2 2 3" xfId="878"/>
    <cellStyle name="Output 3 2 2 3" xfId="879"/>
    <cellStyle name="Total 2 2 2 3" xfId="880"/>
    <cellStyle name="Total 3 2 2 3" xfId="881"/>
    <cellStyle name="Note 2 4 3" xfId="882"/>
    <cellStyle name="Calculation 2 4 3" xfId="883"/>
    <cellStyle name="Calculation 3 4 3" xfId="884"/>
    <cellStyle name="Input 3 4 3" xfId="885"/>
    <cellStyle name="Note 3 4 3" xfId="886"/>
    <cellStyle name="Total 2 4 3" xfId="887"/>
    <cellStyle name="Total 3 4 3" xfId="888"/>
    <cellStyle name="Output 2 4 3" xfId="889"/>
    <cellStyle name="Output 3 4 3" xfId="890"/>
    <cellStyle name="Input 2 4 3" xfId="891"/>
    <cellStyle name="Normal 6 8" xfId="892"/>
    <cellStyle name="Normal 3 2 2 6" xfId="893"/>
    <cellStyle name="Normal 4 3 4" xfId="894"/>
    <cellStyle name="Input 2 5 2" xfId="895"/>
    <cellStyle name="Input 3 5 2" xfId="896"/>
    <cellStyle name="Note 2 5 2" xfId="897"/>
    <cellStyle name="Note 3 5 2" xfId="898"/>
    <cellStyle name="Output 2 5 2" xfId="899"/>
    <cellStyle name="Total 2 5 2" xfId="900"/>
    <cellStyle name="Total 3 5 2" xfId="901"/>
    <cellStyle name="Output 3 5 2" xfId="902"/>
    <cellStyle name="Calculation 3 5 2" xfId="903"/>
    <cellStyle name="Calculation 2 5 2" xfId="904"/>
    <cellStyle name="Normal 3 4 4" xfId="905"/>
    <cellStyle name="Hyperlink 2 2 2" xfId="906"/>
    <cellStyle name="Normal 5 3 4" xfId="907"/>
    <cellStyle name="Normal 6 2 6" xfId="908"/>
    <cellStyle name="Normal 6 3 2" xfId="909"/>
    <cellStyle name="Normal 11 2" xfId="910"/>
    <cellStyle name="Calculation 2 2 3 2" xfId="911"/>
    <cellStyle name="Calculation 3 2 3 2" xfId="912"/>
    <cellStyle name="Input 2 2 3 2" xfId="913"/>
    <cellStyle name="Input 3 2 3 2" xfId="914"/>
    <cellStyle name="Note 2 2 3 2" xfId="915"/>
    <cellStyle name="Note 3 2 3 2" xfId="916"/>
    <cellStyle name="Output 2 2 3 2" xfId="917"/>
    <cellStyle name="Output 3 2 3 2" xfId="918"/>
    <cellStyle name="Total 2 2 3 2" xfId="919"/>
    <cellStyle name="Total 3 2 3 2" xfId="920"/>
    <cellStyle name="Input 3 3 2 2" xfId="921"/>
    <cellStyle name="Input 2 3 2 2" xfId="922"/>
    <cellStyle name="Calculation 3 3 2 2" xfId="923"/>
    <cellStyle name="Calculation 2 3 2 2" xfId="924"/>
    <cellStyle name="Note 2 3 2 2" xfId="925"/>
    <cellStyle name="Note 3 3 2 2" xfId="926"/>
    <cellStyle name="Output 2 3 2 2" xfId="927"/>
    <cellStyle name="Output 3 3 2 2" xfId="928"/>
    <cellStyle name="Total 2 3 2 2" xfId="929"/>
    <cellStyle name="Total 3 3 2 2" xfId="930"/>
    <cellStyle name="Note 2 2 2 2 2" xfId="931"/>
    <cellStyle name="Calculation 2 2 2 2 2" xfId="932"/>
    <cellStyle name="Calculation 3 2 2 2 2" xfId="933"/>
    <cellStyle name="Input 2 2 2 2 2" xfId="934"/>
    <cellStyle name="Input 3 2 2 2 2" xfId="935"/>
    <cellStyle name="Note 3 2 2 2 2" xfId="936"/>
    <cellStyle name="Output 2 2 2 2 2" xfId="937"/>
    <cellStyle name="Output 3 2 2 2 2" xfId="938"/>
    <cellStyle name="Total 2 2 2 2 2" xfId="939"/>
    <cellStyle name="Total 3 2 2 2 2" xfId="940"/>
    <cellStyle name="Note 2 4 2 2" xfId="941"/>
    <cellStyle name="Calculation 2 4 2 2" xfId="942"/>
    <cellStyle name="Calculation 3 4 2 2" xfId="943"/>
    <cellStyle name="Input 3 4 2 2" xfId="944"/>
    <cellStyle name="Note 3 4 2 2" xfId="945"/>
    <cellStyle name="Total 2 4 2 2" xfId="946"/>
    <cellStyle name="Total 3 4 2 2" xfId="947"/>
    <cellStyle name="Output 2 4 2 2" xfId="948"/>
    <cellStyle name="Output 3 4 2 2" xfId="949"/>
    <cellStyle name="Input 2 4 2 2" xfId="950"/>
    <cellStyle name="Normal 12 6" xfId="951"/>
    <cellStyle name="Normal 2 4" xfId="952"/>
    <cellStyle name="Note 2 8" xfId="953"/>
    <cellStyle name="Note 3 8" xfId="954"/>
    <cellStyle name="Currency 12 2" xfId="955"/>
    <cellStyle name="Normal 25" xfId="956"/>
    <cellStyle name="Normal 26" xfId="957"/>
    <cellStyle name="Normal 22 2" xfId="958"/>
    <cellStyle name="Normal 23" xfId="959"/>
    <cellStyle name="Normal 24" xfId="960"/>
    <cellStyle name="Normal 35" xfId="961"/>
    <cellStyle name="Note 7 2" xfId="962"/>
    <cellStyle name="Note 2 6 2" xfId="963"/>
    <cellStyle name="Note 3 6 2" xfId="964"/>
    <cellStyle name="Normal 3 5 2" xfId="965"/>
    <cellStyle name="Normal 3 2 3 4" xfId="966"/>
    <cellStyle name="Normal 4 4 2" xfId="967"/>
    <cellStyle name="Normal 5 4 2" xfId="968"/>
    <cellStyle name="Note 2 2 5" xfId="969"/>
    <cellStyle name="Note 3 2 5" xfId="970"/>
    <cellStyle name="Note 2 3 4" xfId="971"/>
    <cellStyle name="Note 3 3 4" xfId="972"/>
    <cellStyle name="Normal 4 2 5" xfId="973"/>
    <cellStyle name="Normal 5 2 5" xfId="974"/>
    <cellStyle name="Note 2 2 2 4" xfId="975"/>
    <cellStyle name="Note 3 2 2 4" xfId="976"/>
    <cellStyle name="Note 2 4 4" xfId="977"/>
    <cellStyle name="Note 3 4 4" xfId="978"/>
    <cellStyle name="Normal 6 4 2" xfId="979"/>
    <cellStyle name="Note 2 5 3" xfId="980"/>
    <cellStyle name="Note 3 5 3" xfId="981"/>
    <cellStyle name="Normal 6 3 3" xfId="982"/>
    <cellStyle name="Currency 3 2 3 2" xfId="983"/>
    <cellStyle name="Normal 15 3" xfId="984"/>
    <cellStyle name="Normal 16 2" xfId="985"/>
    <cellStyle name="Note 2 2 3 3" xfId="986"/>
    <cellStyle name="Note 3 2 3 3" xfId="987"/>
    <cellStyle name="Note 2 3 2 3" xfId="988"/>
    <cellStyle name="Note 3 3 2 3" xfId="989"/>
    <cellStyle name="Note 2 2 2 2 3" xfId="990"/>
    <cellStyle name="Note 3 2 2 2 3" xfId="991"/>
    <cellStyle name="Note 2 4 2 3" xfId="992"/>
    <cellStyle name="Note 3 4 2 3" xfId="993"/>
    <cellStyle name="Normal 12 5 2" xfId="994"/>
    <cellStyle name="Normal 14 2 2" xfId="995"/>
    <cellStyle name="Normal 12 2 2" xfId="996"/>
    <cellStyle name="Normal 13 2 2" xfId="997"/>
    <cellStyle name="Normal 15 2 2" xfId="998"/>
    <cellStyle name="Normal 12 3 2" xfId="999"/>
    <cellStyle name="Normal 12 4 2" xfId="1000"/>
    <cellStyle name="Normal 34" xfId="1001"/>
    <cellStyle name="Normal 18 4" xfId="1002"/>
    <cellStyle name="Normal 20 3" xfId="1003"/>
    <cellStyle name="Normal 21 3" xfId="1004"/>
    <cellStyle name="Normal 17 3" xfId="1005"/>
    <cellStyle name="Hyperlink 3" xfId="1006"/>
    <cellStyle name="Normal 16 4" xfId="1007"/>
    <cellStyle name="Accent5 2 3 3" xfId="1008"/>
    <cellStyle name="Accent5 2 2 2" xfId="1009"/>
    <cellStyle name="Normal 7 3 3" xfId="1010"/>
    <cellStyle name="Normal 8 3 3" xfId="1011"/>
    <cellStyle name="Normal 9 6" xfId="1012"/>
    <cellStyle name="Normal 10 4" xfId="1013"/>
    <cellStyle name="Normal 3 4 2 3" xfId="1014"/>
    <cellStyle name="Normal 3 2 3 5" xfId="1015"/>
    <cellStyle name="Normal 3 3 2 5" xfId="1016"/>
    <cellStyle name="Normal 3 2 2 2 5" xfId="1017"/>
    <cellStyle name="Normal 4 2 2 3" xfId="1018"/>
    <cellStyle name="Normal 5 2 2 3" xfId="1019"/>
    <cellStyle name="Normal 7 2 5" xfId="1020"/>
    <cellStyle name="Normal 8 2 5" xfId="1021"/>
    <cellStyle name="Normal 9 2 5" xfId="1022"/>
    <cellStyle name="Normal 10 2 3" xfId="1023"/>
    <cellStyle name="Normal 22 3" xfId="1024"/>
    <cellStyle name="Normal 23 3" xfId="1025"/>
    <cellStyle name="Title 4 3" xfId="1026"/>
    <cellStyle name="Neutral 4 3" xfId="1027"/>
    <cellStyle name="60% - Accent1 4 3" xfId="1028"/>
    <cellStyle name="60% - Accent2 4 3" xfId="1029"/>
    <cellStyle name="60% - Accent3 4 3" xfId="1030"/>
    <cellStyle name="60% - Accent4 4 3" xfId="1031"/>
    <cellStyle name="60% - Accent5 4 3" xfId="1032"/>
    <cellStyle name="60% - Accent6 4 3" xfId="1033"/>
    <cellStyle name="Normal 18 2" xfId="1034"/>
    <cellStyle name="Normal 16 2 2" xfId="1035"/>
    <cellStyle name="Normal 24 3" xfId="1036"/>
    <cellStyle name="Normal 27" xfId="1037"/>
    <cellStyle name="Normal 29" xfId="1038"/>
    <cellStyle name="Normal 28" xfId="1039"/>
    <cellStyle name="Normal 30" xfId="1040"/>
    <cellStyle name="Normal 32" xfId="1041"/>
    <cellStyle name="Normal 31" xfId="1042"/>
    <cellStyle name="Normal 33" xfId="1043"/>
    <cellStyle name="Normal 3 2 8" xfId="1044"/>
    <cellStyle name="Normal 4 9" xfId="1045"/>
    <cellStyle name="Normal 5 9" xfId="1046"/>
    <cellStyle name="Normal 6 9" xfId="1047"/>
    <cellStyle name="Normal 3 3 7" xfId="1048"/>
    <cellStyle name="Title 4 2" xfId="1049"/>
    <cellStyle name="Neutral 4 2" xfId="1050"/>
    <cellStyle name="60% - Accent1 4 2" xfId="1051"/>
    <cellStyle name="60% - Accent2 4 2" xfId="1052"/>
    <cellStyle name="60% - Accent3 4 2" xfId="1053"/>
    <cellStyle name="60% - Accent4 4 2" xfId="1054"/>
    <cellStyle name="60% - Accent5 4 2" xfId="1055"/>
    <cellStyle name="60% - Accent6 4 2" xfId="1056"/>
    <cellStyle name="Input 3 3 4" xfId="1057"/>
    <cellStyle name="Input 2 3 4" xfId="1058"/>
    <cellStyle name="Calculation 3 3 4" xfId="1059"/>
    <cellStyle name="Calculation 2 3 4" xfId="1060"/>
    <cellStyle name="Calculation 2 2 5" xfId="1061"/>
    <cellStyle name="Calculation 3 2 5" xfId="1062"/>
    <cellStyle name="Heading 1 2 2 3" xfId="1063"/>
    <cellStyle name="Heading 1 3 2 3" xfId="1064"/>
    <cellStyle name="Heading 2 2 2 3" xfId="1065"/>
    <cellStyle name="Heading 2 3 2 3" xfId="1066"/>
    <cellStyle name="Input 2 2 5" xfId="1067"/>
    <cellStyle name="Input 3 2 5" xfId="1068"/>
    <cellStyle name="Output 2 2 5" xfId="1069"/>
    <cellStyle name="Output 3 2 5" xfId="1070"/>
    <cellStyle name="Total 2 2 5" xfId="1071"/>
    <cellStyle name="Total 3 2 5" xfId="1072"/>
    <cellStyle name="Output 2 3 4" xfId="1073"/>
    <cellStyle name="Output 3 3 4" xfId="1074"/>
    <cellStyle name="Total 2 3 4" xfId="1075"/>
    <cellStyle name="Total 3 3 4" xfId="1076"/>
    <cellStyle name="Calculation 2 2 2 4" xfId="1077"/>
    <cellStyle name="Calculation 3 2 2 4" xfId="1078"/>
    <cellStyle name="Input 2 2 2 4" xfId="1079"/>
    <cellStyle name="Input 3 2 2 4" xfId="1080"/>
    <cellStyle name="Output 2 2 2 4" xfId="1081"/>
    <cellStyle name="Output 3 2 2 4" xfId="1082"/>
    <cellStyle name="Total 2 2 2 4" xfId="1083"/>
    <cellStyle name="Total 3 2 2 4" xfId="1084"/>
    <cellStyle name="Calculation 2 4 4" xfId="1085"/>
    <cellStyle name="Calculation 3 4 4" xfId="1086"/>
    <cellStyle name="Input 3 4 4" xfId="1087"/>
    <cellStyle name="Total 2 4 4" xfId="1088"/>
    <cellStyle name="Total 3 4 4" xfId="1089"/>
    <cellStyle name="Output 2 4 4" xfId="1090"/>
    <cellStyle name="Output 3 4 4" xfId="1091"/>
    <cellStyle name="Input 2 4 4" xfId="1092"/>
    <cellStyle name="Normal 3 2 2 7" xfId="1093"/>
    <cellStyle name="Normal 4 3 5" xfId="1094"/>
    <cellStyle name="Input 2 5 3" xfId="1095"/>
    <cellStyle name="Input 3 5 3" xfId="1096"/>
    <cellStyle name="Output 2 5 3" xfId="1097"/>
    <cellStyle name="Total 2 5 3" xfId="1098"/>
    <cellStyle name="Total 3 5 3" xfId="1099"/>
    <cellStyle name="Output 3 5 3" xfId="1100"/>
    <cellStyle name="Calculation 3 5 3" xfId="1101"/>
    <cellStyle name="Calculation 2 5 3" xfId="1102"/>
    <cellStyle name="Normal 3 4 5" xfId="1103"/>
    <cellStyle name="Hyperlink 2 2 3" xfId="1104"/>
    <cellStyle name="Normal 5 3 5" xfId="1105"/>
    <cellStyle name="Normal 6 2 7" xfId="1106"/>
    <cellStyle name="Normal 9 5" xfId="1107"/>
    <cellStyle name="Normal 7 2 4" xfId="1108"/>
    <cellStyle name="Normal 8 2 4" xfId="1109"/>
    <cellStyle name="Normal 3 3 2 4" xfId="1110"/>
    <cellStyle name="Normal 3 2 2 2 4" xfId="1111"/>
    <cellStyle name="Normal 9 2 4" xfId="1112"/>
    <cellStyle name="Accent5 2 3 2" xfId="1113"/>
    <cellStyle name="Normal 7 3 2" xfId="1114"/>
    <cellStyle name="Normal 8 3 2" xfId="1115"/>
    <cellStyle name="Normal 3 4 2 2" xfId="1116"/>
    <cellStyle name="Normal 4 2 2 2" xfId="1117"/>
    <cellStyle name="Normal 5 2 2 2" xfId="1118"/>
    <cellStyle name="Normal 13 3" xfId="1119"/>
    <cellStyle name="Normal 14 3" xfId="1120"/>
    <cellStyle name="Normal 16 3" xfId="1121"/>
    <cellStyle name="Normal 17 2" xfId="1122"/>
    <cellStyle name="Calculation 2 2 3 3" xfId="1123"/>
    <cellStyle name="Calculation 3 2 3 3" xfId="1124"/>
    <cellStyle name="Input 2 2 3 3" xfId="1125"/>
    <cellStyle name="Input 3 2 3 3" xfId="1126"/>
    <cellStyle name="Output 2 2 3 3" xfId="1127"/>
    <cellStyle name="Output 3 2 3 3" xfId="1128"/>
    <cellStyle name="Total 2 2 3 3" xfId="1129"/>
    <cellStyle name="Total 3 2 3 3" xfId="1130"/>
    <cellStyle name="Input 3 3 2 3" xfId="1131"/>
    <cellStyle name="Input 2 3 2 3" xfId="1132"/>
    <cellStyle name="Calculation 3 3 2 3" xfId="1133"/>
    <cellStyle name="Calculation 2 3 2 3" xfId="1134"/>
    <cellStyle name="Output 2 3 2 3" xfId="1135"/>
    <cellStyle name="Output 3 3 2 3" xfId="1136"/>
    <cellStyle name="Total 2 3 2 3" xfId="1137"/>
    <cellStyle name="Total 3 3 2 3" xfId="1138"/>
    <cellStyle name="Calculation 2 2 2 2 3" xfId="1139"/>
    <cellStyle name="Calculation 3 2 2 2 3" xfId="1140"/>
    <cellStyle name="Input 2 2 2 2 3" xfId="1141"/>
    <cellStyle name="Input 3 2 2 2 3" xfId="1142"/>
    <cellStyle name="Output 2 2 2 2 3" xfId="1143"/>
    <cellStyle name="Output 3 2 2 2 3" xfId="1144"/>
    <cellStyle name="Total 2 2 2 2 3" xfId="1145"/>
    <cellStyle name="Total 3 2 2 2 3" xfId="1146"/>
    <cellStyle name="Calculation 2 4 2 3" xfId="1147"/>
    <cellStyle name="Calculation 3 4 2 3" xfId="1148"/>
    <cellStyle name="Input 3 4 2 3" xfId="1149"/>
    <cellStyle name="Total 2 4 2 3" xfId="1150"/>
    <cellStyle name="Total 3 4 2 3" xfId="1151"/>
    <cellStyle name="Output 2 4 2 3" xfId="1152"/>
    <cellStyle name="Output 3 4 2 3" xfId="1153"/>
    <cellStyle name="Input 2 4 2 3" xfId="1154"/>
    <cellStyle name="Normal 18 3" xfId="1155"/>
    <cellStyle name="Normal 20 2" xfId="1156"/>
    <cellStyle name="Normal 21 2" xfId="1157"/>
    <cellStyle name="Normal 23 2" xfId="1158"/>
    <cellStyle name="Normal 24 2" xfId="1159"/>
    <cellStyle name="Currency 13" xfId="1160"/>
    <cellStyle name="Normal 4 11" xfId="1161"/>
    <cellStyle name="Normal 344" xfId="1162"/>
    <cellStyle name="Normal 34 5" xfId="1163"/>
    <cellStyle name="Normal 36 4" xfId="1164"/>
    <cellStyle name="Normal 37" xfId="1165"/>
    <cellStyle name="Normal 39" xfId="1166"/>
    <cellStyle name="Normal 38" xfId="1167"/>
    <cellStyle name="Normal 40" xfId="1168"/>
    <cellStyle name="Normal 41" xfId="1169"/>
    <cellStyle name="Followed Hyperlink 2" xfId="1170"/>
    <cellStyle name="Hyperlink 2 6" xfId="1171"/>
    <cellStyle name="Normal 42" xfId="1172"/>
    <cellStyle name="Normal 43" xfId="1173"/>
    <cellStyle name="Normal 44" xfId="1174"/>
    <cellStyle name="Normal 45" xfId="1175"/>
    <cellStyle name="Normal 47" xfId="1176"/>
    <cellStyle name="Normal 46" xfId="1177"/>
    <cellStyle name="Normal 48" xfId="1178"/>
    <cellStyle name="Normal 50" xfId="1179"/>
    <cellStyle name="Normal 49" xfId="1180"/>
    <cellStyle name="Currency 14" xfId="1181"/>
    <cellStyle name="Currency 16" xfId="1182"/>
    <cellStyle name="Currency 15" xfId="1183"/>
    <cellStyle name="Title 7" xfId="1184"/>
    <cellStyle name="Neutral 7" xfId="1185"/>
    <cellStyle name="60% - Accent1 7" xfId="1186"/>
    <cellStyle name="60% - Accent2 7" xfId="1187"/>
    <cellStyle name="60% - Accent3 7" xfId="1188"/>
    <cellStyle name="60% - Accent4 7" xfId="1189"/>
    <cellStyle name="60% - Accent5 7" xfId="1190"/>
    <cellStyle name="60% - Accent6 7" xfId="1191"/>
    <cellStyle name="Normal 34 2" xfId="1192"/>
    <cellStyle name="Normal 53" xfId="1193"/>
    <cellStyle name="60% - Accent5 9" xfId="1194"/>
    <cellStyle name="Normal 52" xfId="1195"/>
    <cellStyle name="Title 9" xfId="1196"/>
    <cellStyle name="Normal 51" xfId="1197"/>
    <cellStyle name="Normal 56" xfId="1198"/>
    <cellStyle name="Normal 54" xfId="1199"/>
    <cellStyle name="Normal 55" xfId="1200"/>
    <cellStyle name="60% - Accent4 9" xfId="1201"/>
    <cellStyle name="Title 8" xfId="1202"/>
    <cellStyle name="Neutral 8" xfId="1203"/>
    <cellStyle name="60% - Accent1 8" xfId="1204"/>
    <cellStyle name="60% - Accent2 8" xfId="1205"/>
    <cellStyle name="60% - Accent3 8" xfId="1206"/>
    <cellStyle name="60% - Accent4 8" xfId="1207"/>
    <cellStyle name="60% - Accent5 8" xfId="1208"/>
    <cellStyle name="60% - Accent6 8" xfId="1209"/>
    <cellStyle name="60% - Accent3 9" xfId="1210"/>
    <cellStyle name="60% - Accent1 9" xfId="1211"/>
    <cellStyle name="60% - Accent2 9" xfId="1212"/>
    <cellStyle name="60% - Accent6 9" xfId="1213"/>
    <cellStyle name="Neutral 9" xfId="1214"/>
    <cellStyle name="Normal 57" xfId="1215"/>
    <cellStyle name="Normal 58" xfId="1216"/>
    <cellStyle name="Normal 16 2 3" xfId="1217"/>
    <cellStyle name="Normal 34 3" xfId="1218"/>
    <cellStyle name="Normal 35 2" xfId="1219"/>
    <cellStyle name="Normal 36 2" xfId="1220"/>
    <cellStyle name="Normal 37 2" xfId="1221"/>
    <cellStyle name="Normal 38 2" xfId="1222"/>
    <cellStyle name="Normal 39 2" xfId="1223"/>
    <cellStyle name="Normal 40 2" xfId="1224"/>
    <cellStyle name="Normal 41 2" xfId="1225"/>
    <cellStyle name="Normal 42 2" xfId="1226"/>
    <cellStyle name="Normal 43 2" xfId="1227"/>
    <cellStyle name="Normal 44 2" xfId="1228"/>
    <cellStyle name="Currency 17" xfId="1229"/>
    <cellStyle name="Normal 59" xfId="1230"/>
    <cellStyle name="Hyperlink 2 6 2" xfId="1231"/>
    <cellStyle name="Normal 2 5" xfId="1232"/>
    <cellStyle name="Normal 3 11" xfId="1233"/>
    <cellStyle name="Normal 3 2 9" xfId="1234"/>
    <cellStyle name="Currency 3 2 4" xfId="1235"/>
    <cellStyle name="Normal 4 10" xfId="1236"/>
    <cellStyle name="Normal 5 10" xfId="1237"/>
    <cellStyle name="Normal 6 10" xfId="1238"/>
    <cellStyle name="Normal 7 5" xfId="1239"/>
    <cellStyle name="Normal 8 5" xfId="1240"/>
    <cellStyle name="Accent5 2 2 3" xfId="1241"/>
    <cellStyle name="Normal 3 2 3 6" xfId="1242"/>
    <cellStyle name="Normal 3 3 8" xfId="1243"/>
    <cellStyle name="Currency 5 6" xfId="1244"/>
    <cellStyle name="Normal 4 2 6" xfId="1245"/>
    <cellStyle name="Normal 5 2 6" xfId="1246"/>
    <cellStyle name="Normal 3 2 2 8" xfId="1247"/>
    <cellStyle name="Normal 3 4 6" xfId="1248"/>
    <cellStyle name="Normal 6 2 8" xfId="1249"/>
    <cellStyle name="Normal 9 7" xfId="1250"/>
    <cellStyle name="Normal 7 2 6" xfId="1251"/>
    <cellStyle name="Normal 8 2 6" xfId="1252"/>
    <cellStyle name="Normal 3 3 2 6" xfId="1253"/>
    <cellStyle name="Currency 5 2 4" xfId="1254"/>
    <cellStyle name="Normal 3 2 2 2 6" xfId="1255"/>
    <cellStyle name="Normal 9 2 6" xfId="1256"/>
    <cellStyle name="Currency 3 3 4" xfId="1257"/>
    <cellStyle name="Currency 6 4" xfId="1258"/>
    <cellStyle name="Currency 7 4" xfId="1259"/>
    <cellStyle name="Currency 8 4" xfId="1260"/>
    <cellStyle name="Currency 9 4" xfId="1261"/>
    <cellStyle name="Currency 10 4" xfId="1262"/>
    <cellStyle name="Normal 10 5" xfId="1263"/>
    <cellStyle name="Currency 11 4" xfId="1264"/>
    <cellStyle name="Currency 3 4 3" xfId="1265"/>
    <cellStyle name="Currency 3 3 2 3" xfId="1266"/>
    <cellStyle name="Currency 6 2 3" xfId="1267"/>
    <cellStyle name="Currency 7 2 3" xfId="1268"/>
    <cellStyle name="Currency 8 2 3" xfId="1269"/>
    <cellStyle name="Currency 9 2 3" xfId="1270"/>
    <cellStyle name="Currency 10 2 3" xfId="1271"/>
    <cellStyle name="Normal 10 2 4" xfId="1272"/>
    <cellStyle name="Currency 11 2 3" xfId="1273"/>
    <cellStyle name="Heading 1 6" xfId="1274"/>
    <cellStyle name="Heading 2 6" xfId="1275"/>
    <cellStyle name="Heading 3 6" xfId="1276"/>
    <cellStyle name="Heading 4 6" xfId="1277"/>
    <cellStyle name="Good 6" xfId="1278"/>
    <cellStyle name="Bad 6" xfId="1279"/>
    <cellStyle name="Input 6" xfId="1280"/>
    <cellStyle name="Output 6" xfId="1281"/>
    <cellStyle name="Calculation 6" xfId="1282"/>
    <cellStyle name="Linked Cell 6" xfId="1283"/>
    <cellStyle name="Check Cell 6" xfId="1284"/>
    <cellStyle name="Warning Text 6" xfId="1285"/>
    <cellStyle name="Note 8" xfId="1286"/>
    <cellStyle name="Explanatory Text 6" xfId="1287"/>
    <cellStyle name="Total 6" xfId="1288"/>
    <cellStyle name="Accent1 6" xfId="1289"/>
    <cellStyle name="20% - Accent1 8" xfId="1290"/>
    <cellStyle name="40% - Accent1 8" xfId="1291"/>
    <cellStyle name="Accent2 6" xfId="1292"/>
    <cellStyle name="20% - Accent2 8" xfId="1293"/>
    <cellStyle name="40% - Accent2 8" xfId="1294"/>
    <cellStyle name="Accent3 6" xfId="1295"/>
    <cellStyle name="20% - Accent3 8" xfId="1296"/>
    <cellStyle name="40% - Accent3 8" xfId="1297"/>
    <cellStyle name="Accent4 6" xfId="1298"/>
    <cellStyle name="20% - Accent4 8" xfId="1299"/>
    <cellStyle name="40% - Accent4 8" xfId="1300"/>
    <cellStyle name="20% - Accent5 8" xfId="1301"/>
    <cellStyle name="40% - Accent5 8" xfId="1302"/>
    <cellStyle name="Accent6 6" xfId="1303"/>
    <cellStyle name="20% - Accent6 8" xfId="1304"/>
    <cellStyle name="40% - Accent6 8" xfId="1305"/>
    <cellStyle name="Normal 60" xfId="1306"/>
    <cellStyle name="Normal 62" xfId="1307"/>
    <cellStyle name="Normal 61" xfId="1308"/>
    <cellStyle name="Normal 64" xfId="1309"/>
    <cellStyle name="Normal 63" xfId="1310"/>
    <cellStyle name="Normal 65" xfId="1311"/>
    <cellStyle name="Normal 68" xfId="1312"/>
    <cellStyle name="Normal 66" xfId="1313"/>
    <cellStyle name="Normal 67" xfId="1314"/>
    <cellStyle name="Normal 69" xfId="1315"/>
    <cellStyle name="Linked Cell 2 4 2" xfId="1316"/>
    <cellStyle name="Normal 73" xfId="1317"/>
    <cellStyle name="Heading 3 2 4 2" xfId="1318"/>
    <cellStyle name="Normal 70" xfId="1319"/>
    <cellStyle name="60% - Accent6 2 4 2" xfId="1320"/>
    <cellStyle name="Input 3 8 2" xfId="1321"/>
    <cellStyle name="Output 2 8 2" xfId="1322"/>
    <cellStyle name="Explanatory Text 3 4 2" xfId="1323"/>
    <cellStyle name="Heading 4 3 4 2" xfId="1324"/>
    <cellStyle name="40% - Accent5 3 4 2" xfId="1325"/>
    <cellStyle name="Note 3 9 2" xfId="1326"/>
    <cellStyle name="40% - Accent6 2 4 2" xfId="1327"/>
    <cellStyle name="Linked Cell 3 4 2" xfId="1328"/>
    <cellStyle name="Check Cell 3 4 2" xfId="1329"/>
    <cellStyle name="60% - Accent4 3 4 2" xfId="1330"/>
    <cellStyle name="Normal 72" xfId="1331"/>
    <cellStyle name="20% - Accent3 3 4 2" xfId="1332"/>
    <cellStyle name="Calculation 3 8 2" xfId="1333"/>
    <cellStyle name="Normal 2 4 2" xfId="1334"/>
    <cellStyle name="20% - Accent1 2 2 2" xfId="1335"/>
    <cellStyle name="20% - Accent1 3 2 2" xfId="1336"/>
    <cellStyle name="20% - Accent2 2 2 2" xfId="1337"/>
    <cellStyle name="20% - Accent2 3 2 2" xfId="1338"/>
    <cellStyle name="20% - Accent3 2 2 2" xfId="1339"/>
    <cellStyle name="20% - Accent3 3 2 2" xfId="1340"/>
    <cellStyle name="20% - Accent4 2 2 2" xfId="1341"/>
    <cellStyle name="20% - Accent4 3 2 2" xfId="1342"/>
    <cellStyle name="20% - Accent5 2 2 2" xfId="1343"/>
    <cellStyle name="20% - Accent5 3 2 2" xfId="1344"/>
    <cellStyle name="20% - Accent6 2 2 2" xfId="1345"/>
    <cellStyle name="20% - Accent6 3 2 2" xfId="1346"/>
    <cellStyle name="40% - Accent1 2 2 2" xfId="1347"/>
    <cellStyle name="40% - Accent1 3 2 2" xfId="1348"/>
    <cellStyle name="40% - Accent2 2 2 2" xfId="1349"/>
    <cellStyle name="40% - Accent2 3 2 2" xfId="1350"/>
    <cellStyle name="40% - Accent3 2 2 2" xfId="1351"/>
    <cellStyle name="40% - Accent3 3 2 2" xfId="1352"/>
    <cellStyle name="40% - Accent4 2 2 2" xfId="1353"/>
    <cellStyle name="40% - Accent4 3 2 2" xfId="1354"/>
    <cellStyle name="40% - Accent5 2 2 2" xfId="1355"/>
    <cellStyle name="40% - Accent5 3 2 2" xfId="1356"/>
    <cellStyle name="40% - Accent6 2 2 2" xfId="1357"/>
    <cellStyle name="40% - Accent6 3 2 2" xfId="1358"/>
    <cellStyle name="60% - Accent1 2 2 2" xfId="1359"/>
    <cellStyle name="60% - Accent1 3 2 2" xfId="1360"/>
    <cellStyle name="60% - Accent2 2 2 2" xfId="1361"/>
    <cellStyle name="60% - Accent2 3 2 2" xfId="1362"/>
    <cellStyle name="60% - Accent3 2 2 2" xfId="1363"/>
    <cellStyle name="60% - Accent3 3 2 2" xfId="1364"/>
    <cellStyle name="60% - Accent4 2 2 2" xfId="1365"/>
    <cellStyle name="60% - Accent4 3 2 2" xfId="1366"/>
    <cellStyle name="60% - Accent5 2 2 2" xfId="1367"/>
    <cellStyle name="60% - Accent5 3 2 2" xfId="1368"/>
    <cellStyle name="60% - Accent6 2 2 2" xfId="1369"/>
    <cellStyle name="60% - Accent6 3 2 2" xfId="1370"/>
    <cellStyle name="Accent1 2 2 2" xfId="1371"/>
    <cellStyle name="Accent1 3 2 2" xfId="1372"/>
    <cellStyle name="Accent2 2 2 2" xfId="1373"/>
    <cellStyle name="Accent2 3 2 2" xfId="1374"/>
    <cellStyle name="Accent3 2 2 2" xfId="1375"/>
    <cellStyle name="Accent3 3 2 2" xfId="1376"/>
    <cellStyle name="Accent4 2 2 2" xfId="1377"/>
    <cellStyle name="Accent4 3 2 2" xfId="1378"/>
    <cellStyle name="Accent5 3 2 2" xfId="1379"/>
    <cellStyle name="Accent6 2 2 2" xfId="1380"/>
    <cellStyle name="Accent6 3 2 2" xfId="1381"/>
    <cellStyle name="Bad 2 2 2" xfId="1382"/>
    <cellStyle name="Bad 3 2 2" xfId="1383"/>
    <cellStyle name="Calculation 2 6 2" xfId="1384"/>
    <cellStyle name="Calculation 3 6 2" xfId="1385"/>
    <cellStyle name="Check Cell 2 2 2" xfId="1386"/>
    <cellStyle name="Check Cell 3 2 2" xfId="1387"/>
    <cellStyle name="Explanatory Text 2 2 2" xfId="1388"/>
    <cellStyle name="Explanatory Text 3 2 2" xfId="1389"/>
    <cellStyle name="Good 2 2 2" xfId="1390"/>
    <cellStyle name="Good 3 2 2" xfId="1391"/>
    <cellStyle name="Heading 1 2 3 2" xfId="1392"/>
    <cellStyle name="Heading 1 3 3 2" xfId="1393"/>
    <cellStyle name="Heading 2 2 3 2" xfId="1394"/>
    <cellStyle name="Heading 2 3 3 2" xfId="1395"/>
    <cellStyle name="Heading 3 2 2 2" xfId="1396"/>
    <cellStyle name="Heading 3 3 2 2" xfId="1397"/>
    <cellStyle name="Heading 4 2 2 2" xfId="1398"/>
    <cellStyle name="Heading 4 3 2 2" xfId="1399"/>
    <cellStyle name="Hyperlink 3 2" xfId="1400"/>
    <cellStyle name="Input 2 6 2" xfId="1401"/>
    <cellStyle name="Input 3 6 2" xfId="1402"/>
    <cellStyle name="Linked Cell 2 2 2" xfId="1403"/>
    <cellStyle name="Linked Cell 3 2 2" xfId="1404"/>
    <cellStyle name="Neutral 2 2 2" xfId="1405"/>
    <cellStyle name="Neutral 3 2 2" xfId="1406"/>
    <cellStyle name="Note 2 6 3" xfId="1407"/>
    <cellStyle name="Note 3 6 3" xfId="1408"/>
    <cellStyle name="Output 2 6 2" xfId="1409"/>
    <cellStyle name="Output 3 6 2" xfId="1410"/>
    <cellStyle name="Title 2 2 2" xfId="1411"/>
    <cellStyle name="Title 3 2 2" xfId="1412"/>
    <cellStyle name="Total 2 6 2" xfId="1413"/>
    <cellStyle name="Total 3 6 2" xfId="1414"/>
    <cellStyle name="Warning Text 2 2 2" xfId="1415"/>
    <cellStyle name="Warning Text 3 2 2" xfId="1416"/>
    <cellStyle name="Accent5 3 4 2" xfId="1417"/>
    <cellStyle name="Check Cell 2 4 2" xfId="1418"/>
    <cellStyle name="40% - Accent1 3 4 2" xfId="1419"/>
    <cellStyle name="Calculation 2 8 2" xfId="1420"/>
    <cellStyle name="Accent2 3 4 2" xfId="1421"/>
    <cellStyle name="Accent4 2 4 2" xfId="1422"/>
    <cellStyle name="20% - Accent6 3 4 2" xfId="1423"/>
    <cellStyle name="Title 3 4 2" xfId="1424"/>
    <cellStyle name="60% - Accent5 3 4 2" xfId="1425"/>
    <cellStyle name="Heading 2 2 5 2" xfId="1426"/>
    <cellStyle name="40% - Accent6 3 4 2" xfId="1427"/>
    <cellStyle name="Accent3 3 4 2" xfId="1428"/>
    <cellStyle name="Normal 71" xfId="1429"/>
    <cellStyle name="Warning Text 2 4 2" xfId="1430"/>
    <cellStyle name="Accent2 2 4 2" xfId="1431"/>
    <cellStyle name="Normal 7 6" xfId="1432"/>
    <cellStyle name="Currency 6 5" xfId="1433"/>
    <cellStyle name="Heading 2 3 5 2" xfId="1434"/>
    <cellStyle name="Explanatory Text 2 4 2" xfId="1435"/>
    <cellStyle name="Good 2 4 2" xfId="1436"/>
    <cellStyle name="20% - Accent1 3 4 2" xfId="1437"/>
    <cellStyle name="20% - Accent4 3 4 2" xfId="1438"/>
    <cellStyle name="40% - Accent4 3 4 2" xfId="1439"/>
    <cellStyle name="Warning Text 3 4 2" xfId="1440"/>
    <cellStyle name="Hyperlink 4" xfId="1441"/>
    <cellStyle name="Note 2 9 2" xfId="1442"/>
    <cellStyle name="Accent4 3 4 2" xfId="1443"/>
    <cellStyle name="Output 3 8 2" xfId="1444"/>
    <cellStyle name="60% - Accent3 3 4 2" xfId="1445"/>
    <cellStyle name="Neutral 3 4 2" xfId="1446"/>
    <cellStyle name="60% - Accent6 3 4 2" xfId="1447"/>
    <cellStyle name="Accent3 2 4 2" xfId="1448"/>
    <cellStyle name="Bad 3 4 2" xfId="1449"/>
    <cellStyle name="Total 2 8 2" xfId="1450"/>
    <cellStyle name="Accent6 2 4 2" xfId="1451"/>
    <cellStyle name="Heading 3 3 4 2" xfId="1452"/>
    <cellStyle name="60% - Accent1 3 4 2" xfId="1453"/>
    <cellStyle name="Good 3 4 2" xfId="1454"/>
    <cellStyle name="Heading 1 2 5 2" xfId="1455"/>
    <cellStyle name="Accent1 2 4 2" xfId="1456"/>
    <cellStyle name="Heading 1 3 5 2" xfId="1457"/>
    <cellStyle name="Currency 4 3" xfId="1458"/>
    <cellStyle name="Accent6 3 4 2" xfId="1459"/>
    <cellStyle name="Accent5 2 5 2" xfId="1460"/>
    <cellStyle name="Accent1 3 4 2" xfId="1461"/>
    <cellStyle name="Normal 3 12" xfId="1462"/>
    <cellStyle name="Input 2 8 2" xfId="1463"/>
    <cellStyle name="60% - Accent2 3 4 2" xfId="1464"/>
    <cellStyle name="40% - Accent3 3 4 2" xfId="1465"/>
    <cellStyle name="Bad 2 4 2" xfId="1466"/>
    <cellStyle name="Total 3 8 2" xfId="1467"/>
    <cellStyle name="60% - Accent3 2 4 2" xfId="1468"/>
    <cellStyle name="60% - Accent5 2 4 2" xfId="1469"/>
    <cellStyle name="60% - Accent4 2 4 2" xfId="1470"/>
    <cellStyle name="60% - Accent2 2 4 2" xfId="1471"/>
    <cellStyle name="60% - Accent1 2 4 2" xfId="1472"/>
    <cellStyle name="40% - Accent5 2 4 2" xfId="1473"/>
    <cellStyle name="20% - Accent5 2 4 2" xfId="1474"/>
    <cellStyle name="Normal 59 2" xfId="1475"/>
    <cellStyle name="40% - Accent2 3 4 2" xfId="1476"/>
    <cellStyle name="20% - Accent5 3 4 2" xfId="1477"/>
    <cellStyle name="20% - Accent2 3 4 2" xfId="1478"/>
    <cellStyle name="Title 2 4 2" xfId="1479"/>
    <cellStyle name="Neutral 2 4 2" xfId="1480"/>
    <cellStyle name="Heading 4 2 4 2" xfId="1481"/>
    <cellStyle name="20% - Accent2 2 4 2" xfId="1482"/>
    <cellStyle name="40% - Accent2 2 4 2" xfId="1483"/>
    <cellStyle name="40% - Accent4 2 4 2" xfId="1484"/>
    <cellStyle name="20% - Accent4 2 4 2" xfId="1485"/>
    <cellStyle name="40% - Accent3 2 4 2" xfId="1486"/>
    <cellStyle name="20% - Accent3 2 4 2" xfId="1487"/>
    <cellStyle name="40% - Accent1 2 4 2" xfId="1488"/>
    <cellStyle name="20% - Accent1 2 4 2" xfId="1489"/>
    <cellStyle name="Normal 2 5 2" xfId="1490"/>
    <cellStyle name="20% - Accent6 2 4 2" xfId="1491"/>
    <cellStyle name="Normal 3 5 3" xfId="1492"/>
    <cellStyle name="Title 10" xfId="1493"/>
    <cellStyle name="Neutral 10" xfId="1494"/>
    <cellStyle name="60% - Accent1 10" xfId="1495"/>
    <cellStyle name="60% - Accent2 10" xfId="1496"/>
    <cellStyle name="60% - Accent3 10" xfId="1497"/>
    <cellStyle name="60% - Accent4 10" xfId="1498"/>
    <cellStyle name="60% - Accent5 10" xfId="1499"/>
    <cellStyle name="60% - Accent6 10" xfId="1500"/>
    <cellStyle name="Normal 74" xfId="1501"/>
    <cellStyle name="Normal 76" xfId="1502"/>
    <cellStyle name="Normal 75" xfId="1503"/>
    <cellStyle name="Normal 79" xfId="1504"/>
    <cellStyle name="Normal 77" xfId="1505"/>
    <cellStyle name="Normal 78" xfId="1506"/>
    <cellStyle name="Normal 80" xfId="1507"/>
    <cellStyle name="Normal 85" xfId="1508"/>
    <cellStyle name="Normal 86" xfId="1509"/>
    <cellStyle name="Normal 82" xfId="1510"/>
    <cellStyle name="Normal 81" xfId="1511"/>
    <cellStyle name="Normal 84" xfId="1512"/>
    <cellStyle name="Normal 83" xfId="1513"/>
    <cellStyle name="Normal 88" xfId="1514"/>
    <cellStyle name="Normal 90" xfId="1515"/>
    <cellStyle name="Normal 93" xfId="1516"/>
    <cellStyle name="Normal 92" xfId="1517"/>
    <cellStyle name="Normal 91" xfId="1518"/>
    <cellStyle name="Normal 59 3" xfId="1519"/>
    <cellStyle name="Normal 89" xfId="1520"/>
    <cellStyle name="Normal 87" xfId="1521"/>
    <cellStyle name="Normal 94" xfId="1522"/>
    <cellStyle name="Normal 95" xfId="1523"/>
    <cellStyle name="Normal 60 2" xfId="1524"/>
    <cellStyle name="Normal 99" xfId="1525"/>
    <cellStyle name="Normal 102" xfId="1526"/>
    <cellStyle name="Normal 103" xfId="1527"/>
    <cellStyle name="Normal 100" xfId="1528"/>
    <cellStyle name="Normal 96" xfId="1529"/>
    <cellStyle name="Normal 104" xfId="1530"/>
    <cellStyle name="Normal 98" xfId="1531"/>
    <cellStyle name="Normal 97" xfId="1532"/>
    <cellStyle name="Normal 101" xfId="1533"/>
    <cellStyle name="Currency 5 7" xfId="1534"/>
    <cellStyle name="Normal 105" xfId="1535"/>
    <cellStyle name="Normal 106" xfId="1536"/>
    <cellStyle name="Normal 107" xfId="1537"/>
    <cellStyle name="Currency 18" xfId="1538"/>
    <cellStyle name="Normal 108" xfId="1539"/>
    <cellStyle name="Normal 110" xfId="1540"/>
    <cellStyle name="Normal 112" xfId="1541"/>
    <cellStyle name="Normal 109" xfId="1542"/>
    <cellStyle name="Normal 111" xfId="1543"/>
    <cellStyle name="Normal 113" xfId="1544"/>
    <cellStyle name="Normal 114" xfId="1545"/>
    <cellStyle name="Normal 119" xfId="1546"/>
    <cellStyle name="Normal 116" xfId="1547"/>
    <cellStyle name="Normal 117" xfId="1548"/>
    <cellStyle name="Normal 115" xfId="1549"/>
    <cellStyle name="Normal 120" xfId="1550"/>
    <cellStyle name="Normal 118" xfId="1551"/>
    <cellStyle name="Hyperlink 4 3" xfId="1552"/>
    <cellStyle name="Normal 12 8" xfId="1553"/>
    <cellStyle name="Normal 4 4 4" xfId="1554"/>
    <cellStyle name="Currency 5 2 5" xfId="1555"/>
    <cellStyle name="Normal 60 3" xfId="1556"/>
    <cellStyle name="Hyperlink 4 2" xfId="1557"/>
    <cellStyle name="Normal 12 7" xfId="1558"/>
    <cellStyle name="Normal 14 4" xfId="1559"/>
    <cellStyle name="Normal 13 4" xfId="1560"/>
    <cellStyle name="Normal 3 5 3 2" xfId="1561"/>
    <cellStyle name="Hyperlink 3 2 2" xfId="1562"/>
    <cellStyle name="Normal 9 7 2" xfId="1563"/>
    <cellStyle name="Normal 10 5 2" xfId="1564"/>
    <cellStyle name="Normal 4 4 3" xfId="1565"/>
    <cellStyle name="Normal 121" xfId="1566"/>
    <cellStyle name="Normal 130" xfId="1567"/>
    <cellStyle name="Normal 136" xfId="1568"/>
    <cellStyle name="Normal 133" xfId="1569"/>
    <cellStyle name="Normal 123" xfId="1570"/>
    <cellStyle name="Normal 126" xfId="1571"/>
    <cellStyle name="Normal 124" xfId="1572"/>
    <cellStyle name="Normal 132" xfId="1573"/>
    <cellStyle name="Normal 137" xfId="1574"/>
    <cellStyle name="Normal 129" xfId="1575"/>
    <cellStyle name="Normal 131" xfId="1576"/>
    <cellStyle name="Normal 135" xfId="1577"/>
    <cellStyle name="Normal 125" xfId="1578"/>
    <cellStyle name="Normal 122" xfId="1579"/>
    <cellStyle name="Normal 127" xfId="1580"/>
    <cellStyle name="Normal 22 4" xfId="1581"/>
    <cellStyle name="Normal 134" xfId="1582"/>
    <cellStyle name="Normal 2 2 5" xfId="1583"/>
    <cellStyle name="Normal 128" xfId="1584"/>
    <cellStyle name="Normal 138" xfId="1585"/>
    <cellStyle name="Normal 139" xfId="1586"/>
    <cellStyle name="Normal 140" xfId="1587"/>
    <cellStyle name="Normal 143" xfId="1588"/>
    <cellStyle name="Normal 142" xfId="1589"/>
    <cellStyle name="Normal 141" xfId="1590"/>
    <cellStyle name="Normal 144" xfId="1591"/>
    <cellStyle name="Normal 145" xfId="1592"/>
    <cellStyle name="Normal 148" xfId="1593"/>
    <cellStyle name="Normal 146" xfId="1594"/>
    <cellStyle name="Normal 149" xfId="1595"/>
    <cellStyle name="Normal 147" xfId="1596"/>
    <cellStyle name="Normal 150" xfId="1597"/>
    <cellStyle name="Normal 152" xfId="1598"/>
    <cellStyle name="Normal 151" xfId="1599"/>
    <cellStyle name="Normal 155" xfId="1600"/>
    <cellStyle name="Normal 154" xfId="1601"/>
    <cellStyle name="Normal 156" xfId="1602"/>
    <cellStyle name="Normal 153" xfId="1603"/>
    <cellStyle name="Normal 160" xfId="1604"/>
    <cellStyle name="Normal 157" xfId="1605"/>
    <cellStyle name="Normal 158" xfId="1606"/>
    <cellStyle name="Normal 159" xfId="1607"/>
    <cellStyle name="Normal 161" xfId="1608"/>
    <cellStyle name="Normal 166" xfId="1609"/>
    <cellStyle name="Normal 162" xfId="1610"/>
    <cellStyle name="Normal 167" xfId="1611"/>
    <cellStyle name="Normal 163" xfId="1612"/>
    <cellStyle name="Normal 164" xfId="1613"/>
    <cellStyle name="Normal 165" xfId="1614"/>
    <cellStyle name="Currency 19" xfId="1615"/>
    <cellStyle name="Normal 168" xfId="1616"/>
    <cellStyle name="Normal 170" xfId="1617"/>
    <cellStyle name="Normal 169" xfId="1618"/>
    <cellStyle name="Normal 60 4" xfId="1619"/>
    <cellStyle name="Normal 172" xfId="1620"/>
    <cellStyle name="Normal 171" xfId="1621"/>
    <cellStyle name="Normal 173" xfId="1622"/>
    <cellStyle name="20% - Accent1 2 4 2 2" xfId="1623"/>
    <cellStyle name="20% - Accent1 3 4 2 2" xfId="1624"/>
    <cellStyle name="20% - Accent2 2 4 2 2" xfId="1625"/>
    <cellStyle name="20% - Accent2 3 4 2 2" xfId="1626"/>
    <cellStyle name="20% - Accent3 2 4 2 2" xfId="1627"/>
    <cellStyle name="20% - Accent3 3 4 2 2" xfId="1628"/>
    <cellStyle name="20% - Accent4 2 4 2 2" xfId="1629"/>
    <cellStyle name="20% - Accent4 3 4 2 2" xfId="1630"/>
    <cellStyle name="20% - Accent5 2 4 2 2" xfId="1631"/>
    <cellStyle name="20% - Accent5 3 4 2 2" xfId="1632"/>
    <cellStyle name="20% - Accent6 2 4 2 2" xfId="1633"/>
    <cellStyle name="20% - Accent6 3 4 2 2" xfId="1634"/>
    <cellStyle name="40% - Accent1 2 4 2 2" xfId="1635"/>
    <cellStyle name="40% - Accent1 3 4 2 2" xfId="1636"/>
    <cellStyle name="40% - Accent2 2 4 2 2" xfId="1637"/>
    <cellStyle name="40% - Accent2 3 4 2 2" xfId="1638"/>
    <cellStyle name="40% - Accent3 2 4 2 2" xfId="1639"/>
    <cellStyle name="40% - Accent3 3 4 2 2" xfId="1640"/>
    <cellStyle name="40% - Accent4 2 4 2 2" xfId="1641"/>
    <cellStyle name="40% - Accent4 3 4 2 2" xfId="1642"/>
    <cellStyle name="40% - Accent5 2 4 2 2" xfId="1643"/>
    <cellStyle name="40% - Accent5 3 4 2 2" xfId="1644"/>
    <cellStyle name="40% - Accent6 2 4 2 2" xfId="1645"/>
    <cellStyle name="40% - Accent6 3 4 2 2" xfId="1646"/>
    <cellStyle name="60% - Accent1 2 4 2 2" xfId="1647"/>
    <cellStyle name="60% - Accent1 3 4 2 2" xfId="1648"/>
    <cellStyle name="60% - Accent2 2 4 2 2" xfId="1649"/>
    <cellStyle name="60% - Accent2 3 4 2 2" xfId="1650"/>
    <cellStyle name="60% - Accent3 2 4 2 2" xfId="1651"/>
    <cellStyle name="60% - Accent3 3 4 2 2" xfId="1652"/>
    <cellStyle name="60% - Accent4 2 4 2 2" xfId="1653"/>
    <cellStyle name="60% - Accent4 3 4 2 2" xfId="1654"/>
    <cellStyle name="60% - Accent5 2 4 2 2" xfId="1655"/>
    <cellStyle name="60% - Accent5 3 4 2 2" xfId="1656"/>
    <cellStyle name="60% - Accent6 2 4 2 2" xfId="1657"/>
    <cellStyle name="60% - Accent6 3 4 2 2" xfId="1658"/>
    <cellStyle name="Accent1 2 4 2 2" xfId="1659"/>
    <cellStyle name="Accent1 3 4 2 2" xfId="1660"/>
    <cellStyle name="Accent2 2 4 2 2" xfId="1661"/>
    <cellStyle name="Accent2 3 4 2 2" xfId="1662"/>
    <cellStyle name="Accent3 2 4 2 2" xfId="1663"/>
    <cellStyle name="Accent3 3 4 2 2" xfId="1664"/>
    <cellStyle name="Accent4 2 4 2 2" xfId="1665"/>
    <cellStyle name="Accent4 3 4 2 2" xfId="1666"/>
    <cellStyle name="Accent5 2 5 2 2" xfId="1667"/>
    <cellStyle name="Accent5 3 4 2 2" xfId="1668"/>
    <cellStyle name="Accent6 2 4 2 2" xfId="1669"/>
    <cellStyle name="Accent6 3 4 2 2" xfId="1670"/>
    <cellStyle name="Bad 2 4 2 2" xfId="1671"/>
    <cellStyle name="Bad 3 4 2 2" xfId="1672"/>
    <cellStyle name="Calculation 2 8 2 2" xfId="1673"/>
    <cellStyle name="Calculation 3 8 2 2" xfId="1674"/>
    <cellStyle name="Check Cell 2 4 2 2" xfId="1675"/>
    <cellStyle name="Check Cell 3 4 2 2" xfId="1676"/>
    <cellStyle name="Explanatory Text 2 4 2 2" xfId="1677"/>
    <cellStyle name="Explanatory Text 3 4 2 2" xfId="1678"/>
    <cellStyle name="Good 2 4 2 2" xfId="1679"/>
    <cellStyle name="Good 3 4 2 2" xfId="1680"/>
    <cellStyle name="Heading 1 2 5 2 2" xfId="1681"/>
    <cellStyle name="Heading 1 3 5 2 2" xfId="1682"/>
    <cellStyle name="Heading 2 2 5 2 2" xfId="1683"/>
    <cellStyle name="Heading 2 3 5 2 2" xfId="1684"/>
    <cellStyle name="Heading 3 2 4 2 2" xfId="1685"/>
    <cellStyle name="Heading 3 3 4 2 2" xfId="1686"/>
    <cellStyle name="Heading 4 2 4 2 2" xfId="1687"/>
    <cellStyle name="Heading 4 3 4 2 2" xfId="1688"/>
    <cellStyle name="Input 2 8 2 2" xfId="1689"/>
    <cellStyle name="Input 3 8 2 2" xfId="1690"/>
    <cellStyle name="Linked Cell 2 4 2 2" xfId="1691"/>
    <cellStyle name="Linked Cell 3 4 2 2" xfId="1692"/>
    <cellStyle name="Neutral 2 4 2 2" xfId="1693"/>
    <cellStyle name="Neutral 3 4 2 2" xfId="1694"/>
    <cellStyle name="Note 2 9 2 2" xfId="1695"/>
    <cellStyle name="Note 3 9 2 2" xfId="1696"/>
    <cellStyle name="Output 2 8 2 2" xfId="1697"/>
    <cellStyle name="Output 3 8 2 2" xfId="1698"/>
    <cellStyle name="Title 2 4 2 2" xfId="1699"/>
    <cellStyle name="Title 3 4 2 2" xfId="1700"/>
    <cellStyle name="Total 2 8 2 2" xfId="1701"/>
    <cellStyle name="Total 3 8 2 2" xfId="1702"/>
    <cellStyle name="Warning Text 2 4 2 2" xfId="1703"/>
    <cellStyle name="Warning Text 3 4 2 2" xfId="1704"/>
    <cellStyle name="Normal 177" xfId="1705"/>
    <cellStyle name="Normal 175" xfId="1706"/>
    <cellStyle name="Normal 174" xfId="1707"/>
    <cellStyle name="Normal 176" xfId="1708"/>
    <cellStyle name="Normal 178" xfId="1709"/>
    <cellStyle name="Normal 179" xfId="1710"/>
    <cellStyle name="Normal 183" xfId="1711"/>
    <cellStyle name="Normal 180" xfId="1712"/>
    <cellStyle name="Normal 181" xfId="1713"/>
    <cellStyle name="Normal 182" xfId="1714"/>
    <cellStyle name="Normal 61 2" xfId="1715"/>
    <cellStyle name="Normal 2 6" xfId="1716"/>
    <cellStyle name="Normal 3 11 2" xfId="1717"/>
    <cellStyle name="Normal 3 2 9 2" xfId="1718"/>
    <cellStyle name="Normal 3 3 8 2" xfId="1719"/>
    <cellStyle name="Normal 4 10 2" xfId="1720"/>
    <cellStyle name="Normal 5 10 2" xfId="1721"/>
    <cellStyle name="Normal 4 2 6 2" xfId="1722"/>
    <cellStyle name="Normal 5 2 6 2" xfId="1723"/>
    <cellStyle name="Normal 6 10 2" xfId="1724"/>
    <cellStyle name="Normal 3 2 2 8 2" xfId="1725"/>
    <cellStyle name="Normal 3 4 6 2" xfId="1726"/>
    <cellStyle name="Normal 6 2 8 2" xfId="1727"/>
    <cellStyle name="Normal 9 8" xfId="1728"/>
    <cellStyle name="Normal 10 6" xfId="1729"/>
    <cellStyle name="Normal 3 2 3 6 2" xfId="1730"/>
    <cellStyle name="Normal 3 3 2 6 2" xfId="1731"/>
    <cellStyle name="Normal 3 2 2 2 6 2" xfId="1732"/>
    <cellStyle name="Normal 7 2 6 2" xfId="1733"/>
    <cellStyle name="Normal 8 2 6 2" xfId="1734"/>
    <cellStyle name="Normal 9 2 6 2" xfId="1735"/>
    <cellStyle name="Normal 10 2 4 2" xfId="1736"/>
    <cellStyle name="Normal 184" xfId="1737"/>
    <cellStyle name="Normal 185" xfId="1738"/>
    <cellStyle name="Normal 186" xfId="1739"/>
    <cellStyle name="Normal 190" xfId="1740"/>
    <cellStyle name="Normal 188" xfId="1741"/>
    <cellStyle name="Normal 189" xfId="1742"/>
    <cellStyle name="Normal 187" xfId="1743"/>
    <cellStyle name="Normal 191" xfId="1744"/>
    <cellStyle name="Normal 195" xfId="1745"/>
    <cellStyle name="Normal 192" xfId="1746"/>
    <cellStyle name="Normal 194" xfId="1747"/>
    <cellStyle name="Normal 193" xfId="1748"/>
    <cellStyle name="Normal 196" xfId="1749"/>
    <cellStyle name="Normal 197" xfId="1750"/>
    <cellStyle name="Normal 203" xfId="1751"/>
    <cellStyle name="Normal 212" xfId="1752"/>
    <cellStyle name="Normal 198" xfId="1753"/>
    <cellStyle name="Normal 201" xfId="1754"/>
    <cellStyle name="Normal 205" xfId="1755"/>
    <cellStyle name="Normal 207" xfId="1756"/>
    <cellStyle name="Normal 209" xfId="1757"/>
    <cellStyle name="Normal 202" xfId="1758"/>
    <cellStyle name="Normal 199" xfId="1759"/>
    <cellStyle name="Normal 200" xfId="1760"/>
    <cellStyle name="Normal 204" xfId="1761"/>
    <cellStyle name="Normal 206" xfId="1762"/>
    <cellStyle name="Normal 213" xfId="1763"/>
    <cellStyle name="Normal 208" xfId="1764"/>
    <cellStyle name="Normal 211" xfId="1765"/>
    <cellStyle name="Normal 214" xfId="1766"/>
    <cellStyle name="Normal 210" xfId="1767"/>
    <cellStyle name="Normal 225" xfId="1768"/>
    <cellStyle name="Normal 223" xfId="1769"/>
    <cellStyle name="Normal 216" xfId="1770"/>
    <cellStyle name="Normal 218" xfId="1771"/>
    <cellStyle name="Normal 217" xfId="1772"/>
    <cellStyle name="Normal 215" xfId="1773"/>
    <cellStyle name="Normal 219" xfId="1774"/>
    <cellStyle name="Normal 220" xfId="1775"/>
    <cellStyle name="Normal 224" xfId="1776"/>
    <cellStyle name="Normal 221" xfId="1777"/>
    <cellStyle name="Normal 222" xfId="1778"/>
    <cellStyle name="Normal 226" xfId="1779"/>
    <cellStyle name="Normal 227" xfId="1780"/>
    <cellStyle name="Normal 238" xfId="1781"/>
    <cellStyle name="Normal 234" xfId="1782"/>
    <cellStyle name="Normal 235" xfId="1783"/>
    <cellStyle name="Normal 236" xfId="1784"/>
    <cellStyle name="Normal 230" xfId="1785"/>
    <cellStyle name="Normal 231" xfId="1786"/>
    <cellStyle name="Normal 233" xfId="1787"/>
    <cellStyle name="Normal 239" xfId="1788"/>
    <cellStyle name="Normal 228" xfId="1789"/>
    <cellStyle name="Normal 229" xfId="1790"/>
    <cellStyle name="Normal 232" xfId="1791"/>
    <cellStyle name="Normal 237" xfId="1792"/>
    <cellStyle name="Normal 241" xfId="1793"/>
    <cellStyle name="Normal 240" xfId="1794"/>
    <cellStyle name="Normal 242" xfId="1795"/>
    <cellStyle name="Normal 243" xfId="1796"/>
    <cellStyle name="Normal 246" xfId="1797"/>
    <cellStyle name="Normal 244" xfId="1798"/>
    <cellStyle name="Normal 245" xfId="1799"/>
    <cellStyle name="Normal 247" xfId="1800"/>
    <cellStyle name="Normal 248" xfId="1801"/>
    <cellStyle name="Normal 254" xfId="1802"/>
    <cellStyle name="Normal 250" xfId="1803"/>
    <cellStyle name="Normal 249" xfId="1804"/>
    <cellStyle name="Normal 251" xfId="1805"/>
    <cellStyle name="Normal 252" xfId="1806"/>
    <cellStyle name="Normal 268" xfId="1807"/>
    <cellStyle name="Normal 260" xfId="1808"/>
    <cellStyle name="Normal 259" xfId="1809"/>
    <cellStyle name="Normal 267" xfId="1810"/>
    <cellStyle name="Normal 264" xfId="1811"/>
    <cellStyle name="Normal 261" xfId="1812"/>
    <cellStyle name="Normal 265" xfId="1813"/>
    <cellStyle name="Normal 256" xfId="1814"/>
    <cellStyle name="Normal 253" xfId="1815"/>
    <cellStyle name="Normal 262" xfId="1816"/>
    <cellStyle name="Normal 257" xfId="1817"/>
    <cellStyle name="Normal 258" xfId="1818"/>
    <cellStyle name="Normal 263" xfId="1819"/>
    <cellStyle name="Normal 255" xfId="1820"/>
    <cellStyle name="Normal 266" xfId="1821"/>
    <cellStyle name="Normal 269" xfId="1822"/>
    <cellStyle name="Normal 270" xfId="1823"/>
    <cellStyle name="Normal 274" xfId="1824"/>
    <cellStyle name="Normal 273" xfId="1825"/>
    <cellStyle name="Normal 271" xfId="1826"/>
    <cellStyle name="Normal 272" xfId="1827"/>
    <cellStyle name="Normal 275" xfId="1828"/>
    <cellStyle name="Normal 277" xfId="1829"/>
    <cellStyle name="Normal 286" xfId="1830"/>
    <cellStyle name="Normal 282" xfId="1831"/>
    <cellStyle name="Normal 283" xfId="1832"/>
    <cellStyle name="Normal 278" xfId="1833"/>
    <cellStyle name="Normal 284" xfId="1834"/>
    <cellStyle name="Normal 280" xfId="1835"/>
    <cellStyle name="Normal 279" xfId="1836"/>
    <cellStyle name="Normal 291" xfId="1837"/>
    <cellStyle name="Normal 285" xfId="1838"/>
    <cellStyle name="Normal 288" xfId="1839"/>
    <cellStyle name="Normal 290" xfId="1840"/>
    <cellStyle name="Normal 276" xfId="1841"/>
    <cellStyle name="Normal 281" xfId="1842"/>
    <cellStyle name="Normal 287" xfId="1843"/>
    <cellStyle name="Normal 289" xfId="1844"/>
    <cellStyle name="Normal 292" xfId="1845"/>
    <cellStyle name="Normal 294" xfId="1846"/>
    <cellStyle name="Normal 293" xfId="1847"/>
    <cellStyle name="Normal 295" xfId="1848"/>
    <cellStyle name="Normal 298" xfId="1849"/>
    <cellStyle name="Normal 296" xfId="1850"/>
    <cellStyle name="Normal 297" xfId="1851"/>
    <cellStyle name="Normal 301" xfId="1852"/>
    <cellStyle name="Normal 305" xfId="1853"/>
    <cellStyle name="Normal 299" xfId="1854"/>
    <cellStyle name="Normal 310" xfId="1855"/>
    <cellStyle name="Normal 312" xfId="1856"/>
    <cellStyle name="Normal 311" xfId="1857"/>
    <cellStyle name="Normal 306" xfId="1858"/>
    <cellStyle name="Normal 308" xfId="1859"/>
    <cellStyle name="Normal 309" xfId="1860"/>
    <cellStyle name="Normal 300" xfId="1861"/>
    <cellStyle name="Normal 304" xfId="1862"/>
    <cellStyle name="Normal 307" xfId="1863"/>
    <cellStyle name="Normal 303" xfId="1864"/>
    <cellStyle name="Normal 302" xfId="1865"/>
    <cellStyle name="Normal 313" xfId="1866"/>
    <cellStyle name="Normal 60 5" xfId="1867"/>
    <cellStyle name="Normal 314" xfId="1868"/>
    <cellStyle name="Normal 316" xfId="1869"/>
    <cellStyle name="Normal 318" xfId="1870"/>
    <cellStyle name="Normal 315" xfId="1871"/>
    <cellStyle name="Normal 317" xfId="1872"/>
    <cellStyle name="Normal 320" xfId="1873"/>
    <cellStyle name="Normal 319" xfId="1874"/>
    <cellStyle name="Normal 321" xfId="1875"/>
    <cellStyle name="Title 11" xfId="1876"/>
    <cellStyle name="Neutral 11" xfId="1877"/>
    <cellStyle name="60% - Accent1 11" xfId="1878"/>
    <cellStyle name="60% - Accent2 11" xfId="1879"/>
    <cellStyle name="60% - Accent3 11" xfId="1880"/>
    <cellStyle name="60% - Accent4 11" xfId="1881"/>
    <cellStyle name="60% - Accent5 11" xfId="1882"/>
    <cellStyle name="60% - Accent6 11" xfId="1883"/>
    <cellStyle name="Normal 60 4 2" xfId="1884"/>
    <cellStyle name="Normal 197 2" xfId="1885"/>
    <cellStyle name="Normal 323" xfId="1886"/>
    <cellStyle name="Normal 322" xfId="1887"/>
    <cellStyle name="Normal 324" xfId="1888"/>
    <cellStyle name="Normal 325" xfId="1889"/>
    <cellStyle name="Normal 326" xfId="1890"/>
    <cellStyle name="Normal 327" xfId="1891"/>
    <cellStyle name="Normal 329" xfId="1892"/>
    <cellStyle name="Normal 330" xfId="1893"/>
    <cellStyle name="Normal 328" xfId="1894"/>
    <cellStyle name="Normal 332" xfId="1895"/>
    <cellStyle name="Normal 333" xfId="1896"/>
    <cellStyle name="Normal 331" xfId="1897"/>
    <cellStyle name="Normal 335" xfId="1898"/>
    <cellStyle name="Normal 334" xfId="1899"/>
    <cellStyle name="Normal 336" xfId="1900"/>
    <cellStyle name="Normal 337" xfId="1901"/>
    <cellStyle name="Normal 338" xfId="1902"/>
    <cellStyle name="Normal 341" xfId="1903"/>
    <cellStyle name="Normal 339" xfId="1904"/>
    <cellStyle name="Normal 343" xfId="1905"/>
    <cellStyle name="Normal 36 3" xfId="1906"/>
    <cellStyle name="Normal 34 4" xfId="1907"/>
    <cellStyle name="Normal 342" xfId="1908"/>
    <cellStyle name="Normal 340" xfId="1909"/>
    <cellStyle name="Normal 60 5 2" xfId="1910"/>
    <cellStyle name="Normal 325 2" xfId="1911"/>
  </cellStyles>
  <dxfs count="1">
    <dxf>
      <numFmt numFmtId="34" formatCode="_(&quot;$&quot;* #,##0.00_);_(&quot;$&quot;* \(#,##0.00\);_(&quot;$&quot;* &quot;-&quot;??_);_(@_)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40">
    <outlinePr summaryBelow="1" summaryRight="1"/>
    <pageSetUpPr fitToPage="1"/>
  </sheetPr>
  <dimension ref="B1:V32"/>
  <sheetViews>
    <sheetView tabSelected="1" topLeftCell="B1" zoomScaleNormal="100" workbookViewId="0">
      <selection activeCell="J27" sqref="J27"/>
    </sheetView>
  </sheetViews>
  <sheetFormatPr baseColWidth="8" defaultColWidth="0" defaultRowHeight="15" customHeight="1"/>
  <cols>
    <col hidden="1" width="23.28515625" customWidth="1" style="98" min="1" max="1"/>
    <col width="11" customWidth="1" style="99" min="2" max="2"/>
    <col hidden="1" width="10.7109375" customWidth="1" style="99" min="3" max="3"/>
    <col width="12.7109375" customWidth="1" style="99" min="4" max="4"/>
    <col width="11.42578125" customWidth="1" style="99" min="5" max="5"/>
    <col width="10.5703125" customWidth="1" style="99" min="6" max="6"/>
    <col width="7.140625" bestFit="1" customWidth="1" style="99" min="7" max="7"/>
    <col width="25" customWidth="1" style="98" min="8" max="8"/>
    <col width="11.42578125" customWidth="1" style="99" min="9" max="9"/>
    <col width="5.85546875" customWidth="1" style="99" min="10" max="10"/>
    <col hidden="1" width="6.42578125" customWidth="1" style="99" min="11" max="11"/>
    <col width="10" customWidth="1" style="99" min="12" max="12"/>
    <col hidden="1" width="10" customWidth="1" style="99" min="13" max="13"/>
    <col width="11.5703125" customWidth="1" style="99" min="14" max="16"/>
    <col width="11.28515625" bestFit="1" customWidth="1" style="99" min="17" max="17"/>
    <col hidden="1" width="9.85546875" customWidth="1" style="98" min="18" max="18"/>
    <col hidden="1" width="6.7109375" customWidth="1" style="98" min="19" max="19"/>
    <col hidden="1" width="10.5703125" customWidth="1" style="98" min="20" max="20"/>
    <col hidden="1" width="26.5703125" customWidth="1" style="98" min="21" max="21"/>
    <col hidden="1" width="10.140625" customWidth="1" style="98" min="22" max="22"/>
    <col hidden="1" width="11" customWidth="1" style="98" min="23" max="23"/>
    <col hidden="1" width="11.7109375" customWidth="1" style="98" min="24" max="24"/>
    <col hidden="1" width="10.140625" customWidth="1" style="98" min="25" max="25"/>
    <col hidden="1" width="7.140625" customWidth="1" style="98" min="26" max="26"/>
    <col hidden="1" width="8.42578125" customWidth="1" style="98" min="27" max="28"/>
    <col hidden="1" width="6.42578125" customWidth="1" style="98" min="29" max="29"/>
    <col hidden="1" style="98" min="30" max="36"/>
    <col hidden="1" width="149.140625" customWidth="1" style="98" min="37" max="16384"/>
  </cols>
  <sheetData>
    <row r="1" ht="15" customHeight="1" s="100">
      <c r="B1" s="101" t="n"/>
      <c r="C1" s="102" t="n"/>
      <c r="D1" s="102" t="n"/>
      <c r="E1" s="102" t="n"/>
      <c r="F1" s="103" t="inlineStr">
        <is>
          <t>SALES CONFIRMATION - CROSSINGS TV</t>
        </is>
      </c>
      <c r="M1" s="102" t="n"/>
      <c r="N1" s="102" t="n"/>
      <c r="O1" s="102" t="n"/>
      <c r="P1" s="102" t="n"/>
      <c r="Q1" s="102" t="n"/>
    </row>
    <row r="2" ht="15" customHeight="1" s="100">
      <c r="B2" s="104" t="n"/>
      <c r="C2" s="102" t="n"/>
      <c r="D2" s="102" t="n"/>
      <c r="E2" s="102" t="n"/>
      <c r="F2" s="102" t="n"/>
      <c r="G2" s="102" t="n"/>
      <c r="I2" s="102" t="n"/>
      <c r="J2" s="102" t="n"/>
      <c r="K2" s="102" t="n"/>
      <c r="L2" s="102" t="n"/>
      <c r="M2" s="102" t="n"/>
      <c r="N2" s="102" t="n"/>
      <c r="O2" s="102" t="n"/>
      <c r="P2" s="102" t="n"/>
      <c r="Q2" s="102" t="n"/>
    </row>
    <row r="3" ht="15" customHeight="1" s="100">
      <c r="B3" s="101" t="inlineStr">
        <is>
          <t>Client</t>
        </is>
      </c>
      <c r="C3" s="102" t="n"/>
      <c r="D3" s="105" t="inlineStr">
        <is>
          <t>Icon Media Direct Inc</t>
        </is>
      </c>
      <c r="E3" s="106" t="n"/>
      <c r="F3" s="106" t="n"/>
      <c r="G3" s="106" t="n"/>
      <c r="I3" s="104" t="inlineStr">
        <is>
          <t>Advertiser</t>
        </is>
      </c>
      <c r="J3" s="102" t="n"/>
      <c r="K3" s="102" t="n"/>
      <c r="L3" s="107" t="inlineStr">
        <is>
          <t>Rue Gilt Groupe</t>
        </is>
      </c>
    </row>
    <row r="4" ht="15" customHeight="1" s="100">
      <c r="B4" s="101" t="inlineStr">
        <is>
          <t>Contact</t>
        </is>
      </c>
      <c r="C4" s="102" t="n"/>
      <c r="D4" s="108" t="inlineStr">
        <is>
          <t>Daryll Aguinaldo</t>
        </is>
      </c>
      <c r="E4" s="109" t="n"/>
      <c r="F4" s="109" t="n"/>
      <c r="G4" s="109" t="n"/>
      <c r="I4" s="104" t="inlineStr">
        <is>
          <t>Estimate</t>
        </is>
      </c>
      <c r="L4" s="76" t="n">
        <v>213798</v>
      </c>
    </row>
    <row r="5" ht="15" customHeight="1" s="100">
      <c r="B5" s="101" t="inlineStr">
        <is>
          <t>Address</t>
        </is>
      </c>
      <c r="C5" s="102" t="n"/>
      <c r="D5" s="107" t="inlineStr">
        <is>
          <t>5910 Lemona Ave</t>
        </is>
      </c>
      <c r="E5" s="102" t="n"/>
      <c r="F5" s="102" t="n"/>
      <c r="G5" s="102" t="n"/>
      <c r="I5" s="104" t="inlineStr">
        <is>
          <t>Billing Type</t>
        </is>
      </c>
      <c r="J5" s="102" t="n"/>
      <c r="K5" s="102" t="n"/>
      <c r="L5" s="107" t="inlineStr">
        <is>
          <t>Broadcast</t>
        </is>
      </c>
    </row>
    <row r="6" ht="15" customHeight="1" s="100">
      <c r="B6" s="101" t="n"/>
      <c r="C6" s="102" t="n"/>
      <c r="D6" s="105" t="inlineStr">
        <is>
          <t>Sherman Oaks</t>
        </is>
      </c>
      <c r="E6" s="106" t="n"/>
      <c r="F6" s="110" t="inlineStr">
        <is>
          <t>CA</t>
        </is>
      </c>
      <c r="G6" s="20" t="n">
        <v>91411</v>
      </c>
      <c r="I6" s="104" t="inlineStr">
        <is>
          <t>Market</t>
        </is>
      </c>
      <c r="J6" s="102" t="n"/>
      <c r="K6" s="102" t="n"/>
      <c r="L6" s="107" t="inlineStr">
        <is>
          <t>National</t>
        </is>
      </c>
    </row>
    <row r="7" ht="15" customHeight="1" s="100">
      <c r="B7" s="102" t="n"/>
      <c r="C7" s="102" t="n"/>
      <c r="D7" s="107" t="n"/>
      <c r="E7" s="102" t="n"/>
      <c r="F7" s="102" t="n"/>
      <c r="G7" s="102" t="n"/>
    </row>
    <row r="8" ht="15" customHeight="1" s="100">
      <c r="B8" s="101" t="inlineStr">
        <is>
          <t>Phone</t>
        </is>
      </c>
      <c r="C8" s="102" t="n"/>
      <c r="D8" s="111" t="n"/>
      <c r="E8" s="106" t="n"/>
      <c r="F8" s="106" t="n"/>
      <c r="G8" s="106" t="n"/>
      <c r="I8" s="104" t="inlineStr">
        <is>
          <t>Date Order Written</t>
        </is>
      </c>
      <c r="J8" s="102" t="n"/>
      <c r="K8" s="102" t="n"/>
      <c r="L8" s="88" t="n">
        <v>46100</v>
      </c>
    </row>
    <row r="9" ht="15" customHeight="1" s="100">
      <c r="B9" s="101" t="inlineStr">
        <is>
          <t>Fax</t>
        </is>
      </c>
      <c r="C9" s="102" t="n"/>
      <c r="D9" s="111" t="n"/>
      <c r="E9" s="106" t="n"/>
      <c r="F9" s="106" t="n"/>
      <c r="G9" s="106" t="n"/>
      <c r="I9" s="104" t="inlineStr">
        <is>
          <t>Contract Number</t>
        </is>
      </c>
      <c r="J9" s="102" t="n"/>
      <c r="K9" s="102" t="n"/>
      <c r="L9" s="42" t="n">
        <v>2610</v>
      </c>
      <c r="M9" s="107" t="n"/>
      <c r="N9" s="107" t="n"/>
      <c r="O9" s="107" t="n"/>
      <c r="P9" s="107" t="n"/>
      <c r="Q9" s="107" t="n"/>
    </row>
    <row r="10" ht="15" customHeight="1" s="100">
      <c r="B10" s="101" t="inlineStr">
        <is>
          <t>Email</t>
        </is>
      </c>
      <c r="C10" s="102" t="n"/>
      <c r="D10" s="112" t="n"/>
      <c r="E10" s="109" t="n"/>
      <c r="F10" s="109" t="n"/>
      <c r="G10" s="109" t="n"/>
      <c r="I10" s="104" t="inlineStr">
        <is>
          <t>Revision</t>
        </is>
      </c>
      <c r="L10" s="77" t="inlineStr">
        <is>
          <t>0</t>
        </is>
      </c>
    </row>
    <row r="11" ht="15" customHeight="1" s="100">
      <c r="B11" s="101" t="n"/>
      <c r="C11" s="102" t="n"/>
      <c r="D11" s="113" t="n"/>
      <c r="I11" s="104" t="inlineStr">
        <is>
          <t>Station Representative</t>
        </is>
      </c>
      <c r="J11" s="102" t="n"/>
      <c r="K11" s="107" t="inlineStr">
        <is>
          <t>House (Worldlink)</t>
        </is>
      </c>
    </row>
    <row r="12" ht="15" customHeight="1" s="100">
      <c r="I12" s="104" t="n"/>
      <c r="J12" s="102" t="n"/>
      <c r="K12" s="102" t="n"/>
      <c r="L12" s="107" t="n"/>
      <c r="M12" s="107" t="n"/>
      <c r="N12" s="107" t="n"/>
      <c r="O12" s="107" t="n"/>
      <c r="P12" s="107" t="n"/>
      <c r="Q12" s="107" t="n"/>
    </row>
    <row r="13" ht="36.75" customFormat="1" customHeight="1" s="114">
      <c r="B13" s="7" t="inlineStr">
        <is>
          <t>Line Number</t>
        </is>
      </c>
      <c r="C13" s="7" t="n"/>
      <c r="D13" s="114" t="inlineStr">
        <is>
          <t>Start Date</t>
        </is>
      </c>
      <c r="E13" s="8" t="inlineStr">
        <is>
          <t>End Date</t>
        </is>
      </c>
      <c r="F13" s="8" t="inlineStr">
        <is>
          <t># spt per</t>
        </is>
      </c>
      <c r="G13" s="8" t="inlineStr">
        <is>
          <t>Per ____</t>
        </is>
      </c>
      <c r="H13" s="9" t="inlineStr">
        <is>
          <t>TP/Program/Lang Ordered</t>
        </is>
      </c>
      <c r="I13" s="8" t="inlineStr">
        <is>
          <t># of days, wks, mos</t>
        </is>
      </c>
      <c r="J13" s="114" t="inlineStr">
        <is>
          <t>Spot type</t>
        </is>
      </c>
      <c r="L13" s="114" t="inlineStr">
        <is>
          <t>Total # of Units</t>
        </is>
      </c>
      <c r="N13" s="114" t="inlineStr">
        <is>
          <t>Length</t>
        </is>
      </c>
      <c r="O13" s="115" t="inlineStr">
        <is>
          <t>Gross Unit Rate</t>
        </is>
      </c>
      <c r="P13" s="114" t="inlineStr">
        <is>
          <t>Gross Line Total</t>
        </is>
      </c>
      <c r="R13" s="115" t="n"/>
      <c r="S13" s="115" t="n"/>
      <c r="T13" s="115" t="n"/>
      <c r="U13" s="115" t="n"/>
      <c r="V13" s="115" t="n"/>
    </row>
    <row r="14" ht="16.5" customFormat="1" customHeight="1" s="116" thickBot="1">
      <c r="B14" s="51" t="n">
        <v>1</v>
      </c>
      <c r="C14" s="117" t="n"/>
      <c r="D14" s="28" t="n">
        <v>46111</v>
      </c>
      <c r="E14" s="28" t="n">
        <v>46116</v>
      </c>
      <c r="F14" s="51" t="n">
        <v>50</v>
      </c>
      <c r="G14" s="29" t="inlineStr">
        <is>
          <t>week</t>
        </is>
      </c>
      <c r="H14" s="116" t="inlineStr">
        <is>
          <t>M-Su 6a-9a</t>
        </is>
      </c>
      <c r="I14" s="51" t="n">
        <v>1</v>
      </c>
      <c r="J14" s="51" t="inlineStr">
        <is>
          <t>COM</t>
        </is>
      </c>
      <c r="L14" s="51">
        <f>F14*I14</f>
        <v/>
      </c>
      <c r="N14" s="51" t="inlineStr">
        <is>
          <t>:15</t>
        </is>
      </c>
      <c r="O14" s="118" t="n">
        <v>3</v>
      </c>
      <c r="P14" s="118">
        <f>L14*O14</f>
        <v/>
      </c>
      <c r="R14" s="119" t="n"/>
      <c r="T14" s="119" t="n"/>
      <c r="U14" s="119" t="n"/>
      <c r="V14" s="119" t="n"/>
    </row>
    <row r="15" ht="15" customFormat="1" customHeight="1" s="120" thickTop="1">
      <c r="B15" s="121" t="n"/>
      <c r="C15" s="121" t="n"/>
      <c r="D15" s="122" t="n"/>
      <c r="E15" s="121" t="n"/>
      <c r="F15" s="121" t="n"/>
      <c r="G15" s="121" t="n"/>
      <c r="H15" s="123" t="n"/>
      <c r="I15" s="123" t="inlineStr">
        <is>
          <t>Gross Amount</t>
        </is>
      </c>
      <c r="J15" s="124" t="n"/>
      <c r="K15" s="124" t="n"/>
      <c r="L15" s="65">
        <f>SUM(L14:L14)</f>
        <v/>
      </c>
      <c r="M15" s="124" t="n"/>
      <c r="N15" s="124" t="inlineStr">
        <is>
          <t>spots</t>
        </is>
      </c>
      <c r="O15" s="124" t="n"/>
      <c r="P15" s="125">
        <f>SUM(P14:P14)</f>
        <v/>
      </c>
      <c r="Q15" s="121" t="n"/>
    </row>
    <row r="16" ht="15" customFormat="1" customHeight="1" s="126" thickBot="1">
      <c r="B16" s="127" t="inlineStr">
        <is>
          <t>Additional Notes</t>
        </is>
      </c>
      <c r="C16" s="106" t="n"/>
      <c r="D16" s="106" t="n"/>
      <c r="E16" s="106" t="n"/>
      <c r="F16" s="106" t="n"/>
      <c r="G16" s="106" t="n"/>
      <c r="H16" s="128" t="n"/>
      <c r="I16" s="128" t="inlineStr">
        <is>
          <t>Agency Discount</t>
        </is>
      </c>
      <c r="J16" s="129" t="n"/>
      <c r="K16" s="129" t="n"/>
      <c r="L16" s="67" t="n">
        <v>0.15</v>
      </c>
      <c r="M16" s="130" t="n"/>
      <c r="N16" s="130" t="n"/>
      <c r="O16" s="64" t="n"/>
      <c r="P16" s="131">
        <f>-1*(L16*P15)</f>
        <v/>
      </c>
      <c r="Q16" s="132" t="n"/>
    </row>
    <row r="17" ht="15" customFormat="1" customHeight="1" s="126" thickBot="1" thickTop="1">
      <c r="B17" s="133" t="inlineStr">
        <is>
          <t>Q2 NEW ORDER. HIATUS 4.5 &amp; 5.10</t>
        </is>
      </c>
      <c r="C17" s="134" t="n"/>
      <c r="D17" s="134" t="n"/>
      <c r="E17" s="134" t="n"/>
      <c r="F17" s="134" t="n"/>
      <c r="G17" s="135" t="n"/>
      <c r="H17" s="104" t="n"/>
      <c r="I17" s="104" t="inlineStr">
        <is>
          <t>Net Amount of Contract</t>
        </is>
      </c>
      <c r="J17" s="132" t="n"/>
      <c r="K17" s="132" t="n"/>
      <c r="L17" s="136" t="n"/>
      <c r="M17" s="137" t="n"/>
      <c r="N17" s="137" t="n"/>
      <c r="O17" s="137" t="n"/>
      <c r="P17" s="138">
        <f>SUM(P15:P16)</f>
        <v/>
      </c>
      <c r="Q17" s="132" t="n"/>
    </row>
    <row r="18" ht="15" customFormat="1" customHeight="1" s="126" thickTop="1">
      <c r="B18" s="139" t="n"/>
      <c r="G18" s="140" t="n"/>
      <c r="I18" s="132" t="n"/>
      <c r="J18" s="132" t="n"/>
      <c r="K18" s="132" t="n"/>
      <c r="L18" s="132" t="n"/>
      <c r="M18" s="132" t="n"/>
      <c r="N18" s="132" t="n"/>
      <c r="O18" s="132" t="n"/>
      <c r="P18" s="132" t="n"/>
      <c r="Q18" s="132" t="n"/>
    </row>
    <row r="19" ht="15" customFormat="1" customHeight="1" s="126">
      <c r="B19" s="139" t="n"/>
      <c r="G19" s="140" t="n"/>
      <c r="I19" s="104" t="n"/>
      <c r="J19" s="132" t="n"/>
      <c r="K19" s="132" t="n"/>
      <c r="L19" s="132" t="n"/>
      <c r="M19" s="132" t="n"/>
      <c r="N19" s="132" t="n"/>
      <c r="O19" s="132" t="n"/>
      <c r="P19" s="132" t="n"/>
      <c r="Q19" s="132" t="n"/>
    </row>
    <row r="20" ht="15" customFormat="1" customHeight="1" s="126">
      <c r="B20" s="139" t="n"/>
      <c r="G20" s="140" t="n"/>
      <c r="I20" s="104" t="n"/>
      <c r="J20" s="132" t="n"/>
      <c r="K20" s="132" t="n"/>
      <c r="L20" s="132" t="n"/>
      <c r="M20" s="132" t="n"/>
      <c r="N20" s="132" t="n"/>
      <c r="O20" s="132" t="n"/>
      <c r="P20" s="132" t="n"/>
      <c r="Q20" s="132" t="n"/>
    </row>
    <row r="21" ht="15" customFormat="1" customHeight="1" s="126">
      <c r="B21" s="139" t="n"/>
      <c r="G21" s="140" t="n"/>
      <c r="I21" s="104" t="n"/>
      <c r="J21" s="132" t="n"/>
      <c r="K21" s="132" t="n"/>
      <c r="L21" s="132" t="n"/>
      <c r="M21" s="132" t="n"/>
      <c r="N21" s="132" t="n"/>
      <c r="O21" s="132" t="n"/>
      <c r="P21" s="132" t="n"/>
      <c r="Q21" s="132" t="n"/>
    </row>
    <row r="22" ht="15" customFormat="1" customHeight="1" s="126">
      <c r="B22" s="141" t="n"/>
      <c r="C22" s="106" t="n"/>
      <c r="D22" s="106" t="n"/>
      <c r="E22" s="106" t="n"/>
      <c r="F22" s="106" t="n"/>
      <c r="G22" s="142" t="n"/>
      <c r="I22" s="143" t="n"/>
      <c r="J22" s="143" t="n"/>
      <c r="K22" s="143" t="n"/>
      <c r="L22" s="143" t="n"/>
      <c r="M22" s="143" t="n"/>
      <c r="N22" s="143" t="n"/>
      <c r="O22" s="143" t="n"/>
      <c r="P22" s="143" t="n"/>
      <c r="Q22" s="132" t="n"/>
    </row>
    <row r="23" ht="15" customFormat="1" customHeight="1" s="126">
      <c r="I23" s="143" t="n"/>
      <c r="J23" s="143" t="n"/>
      <c r="K23" s="143" t="n"/>
      <c r="L23" s="143" t="n"/>
      <c r="M23" s="143" t="n"/>
      <c r="N23" s="143" t="n"/>
      <c r="O23" s="143" t="n"/>
      <c r="P23" s="143" t="n"/>
      <c r="Q23" s="132" t="n"/>
    </row>
    <row r="24" ht="15" customFormat="1" customHeight="1" s="126">
      <c r="I24" s="143" t="n"/>
      <c r="J24" s="143" t="n"/>
      <c r="K24" s="143" t="n"/>
      <c r="L24" s="143" t="n"/>
      <c r="M24" s="143" t="n"/>
      <c r="N24" s="143" t="n"/>
      <c r="O24" s="143" t="n"/>
      <c r="P24" s="143" t="n"/>
      <c r="Q24" s="132" t="n"/>
    </row>
    <row r="25" ht="15" customFormat="1" customHeight="1" s="126">
      <c r="B25" s="144" t="inlineStr">
        <is>
          <t>MONTHLY BREAKDOWN</t>
        </is>
      </c>
      <c r="C25" s="144" t="n"/>
      <c r="D25" s="144" t="n"/>
      <c r="E25" s="144" t="n"/>
      <c r="F25" s="144" t="n"/>
      <c r="G25" s="144" t="n"/>
      <c r="I25" s="143" t="n"/>
      <c r="J25" s="143" t="n"/>
      <c r="K25" s="143" t="n"/>
      <c r="L25" s="143" t="n"/>
      <c r="M25" s="143" t="n"/>
      <c r="N25" s="143" t="n"/>
      <c r="O25" s="143" t="n"/>
      <c r="P25" s="143" t="n"/>
      <c r="Q25" s="132" t="n"/>
    </row>
    <row r="26" ht="15" customFormat="1" customHeight="1" s="126">
      <c r="B26" s="101" t="n"/>
      <c r="C26" s="101" t="n"/>
      <c r="D26" s="101" t="n"/>
      <c r="E26" s="144" t="n"/>
      <c r="F26" s="144" t="n"/>
      <c r="G26" s="144" t="n"/>
      <c r="I26" s="143" t="n"/>
      <c r="J26" s="143" t="n"/>
      <c r="K26" s="143" t="n"/>
      <c r="L26" s="143" t="n"/>
      <c r="M26" s="143" t="n"/>
      <c r="N26" s="143" t="n"/>
      <c r="O26" s="143" t="n"/>
      <c r="P26" s="143" t="n"/>
      <c r="Q26" s="132" t="n"/>
    </row>
    <row r="27" ht="15" customFormat="1" customHeight="1" s="126">
      <c r="B27" s="101" t="inlineStr">
        <is>
          <t>Month</t>
        </is>
      </c>
      <c r="C27" s="101" t="n"/>
      <c r="D27" s="101" t="inlineStr">
        <is>
          <t>Gross</t>
        </is>
      </c>
      <c r="E27" s="101" t="inlineStr">
        <is>
          <t>Net</t>
        </is>
      </c>
      <c r="F27" s="101" t="inlineStr">
        <is>
          <t>Broker Fee</t>
        </is>
      </c>
      <c r="H27" s="143" t="n"/>
      <c r="I27" s="143" t="n"/>
      <c r="J27" s="143" t="n"/>
      <c r="K27" s="143" t="n"/>
      <c r="L27" s="143" t="n"/>
      <c r="M27" s="143" t="n"/>
      <c r="N27" s="143" t="n"/>
      <c r="O27" s="143" t="n"/>
      <c r="P27" s="132" t="n"/>
    </row>
    <row r="28" ht="15" customFormat="1" customHeight="1" s="126">
      <c r="B28" s="126" t="inlineStr">
        <is>
          <t>April</t>
        </is>
      </c>
      <c r="D28" s="145" t="n">
        <v>1080</v>
      </c>
      <c r="E28" s="145">
        <f>D28*0.85</f>
        <v/>
      </c>
      <c r="F28" s="146">
        <f>E28*0.1*-1</f>
        <v/>
      </c>
      <c r="H28" s="143" t="n"/>
      <c r="I28" s="143" t="n"/>
      <c r="J28" s="143" t="n"/>
      <c r="K28" s="143" t="n"/>
      <c r="L28" s="143" t="n"/>
      <c r="M28" s="143" t="n"/>
      <c r="N28" s="143" t="n"/>
      <c r="O28" s="143" t="n"/>
      <c r="P28" s="132" t="n"/>
    </row>
    <row r="29" ht="15" customFormat="1" customHeight="1" s="126">
      <c r="B29" s="126" t="inlineStr">
        <is>
          <t>May</t>
        </is>
      </c>
      <c r="C29" s="126" t="n"/>
      <c r="D29" s="145" t="n">
        <v>1350</v>
      </c>
      <c r="E29" s="145">
        <f>D29*0.85</f>
        <v/>
      </c>
      <c r="F29" s="146">
        <f>E29*0.1*-1</f>
        <v/>
      </c>
      <c r="H29" s="143" t="n"/>
      <c r="I29" s="143" t="n"/>
      <c r="J29" s="143" t="n"/>
      <c r="K29" s="143" t="n"/>
      <c r="L29" s="143" t="n"/>
      <c r="M29" s="143" t="n"/>
      <c r="N29" s="143" t="n"/>
      <c r="O29" s="143" t="n"/>
      <c r="P29" s="132" t="n"/>
    </row>
    <row r="30" ht="15" customFormat="1" customHeight="1" s="126" thickBot="1">
      <c r="B30" s="126" t="inlineStr">
        <is>
          <t>June</t>
        </is>
      </c>
      <c r="C30" s="126" t="n"/>
      <c r="D30" s="145" t="n">
        <v>1080</v>
      </c>
      <c r="E30" s="145">
        <f>D30*0.85</f>
        <v/>
      </c>
      <c r="F30" s="146">
        <f>E30*0.1*-1</f>
        <v/>
      </c>
      <c r="H30" s="143" t="n"/>
      <c r="I30" s="143" t="n"/>
      <c r="J30" s="143" t="n"/>
      <c r="K30" s="143" t="n"/>
      <c r="L30" s="143" t="n"/>
      <c r="M30" s="143" t="n"/>
      <c r="N30" s="143" t="n"/>
      <c r="O30" s="143" t="n"/>
      <c r="P30" s="132" t="n"/>
    </row>
    <row r="31" ht="15" customFormat="1" customHeight="1" s="126" thickTop="1">
      <c r="B31" s="147" t="inlineStr">
        <is>
          <t>Total</t>
        </is>
      </c>
      <c r="C31" s="148" t="n"/>
      <c r="D31" s="149">
        <f>SUM(D28:D30)</f>
        <v/>
      </c>
      <c r="E31" s="149">
        <f>SUM(E28:E30)</f>
        <v/>
      </c>
      <c r="F31" s="150" t="n"/>
      <c r="H31" s="132" t="n"/>
      <c r="I31" s="132" t="n"/>
      <c r="J31" s="132" t="n"/>
      <c r="K31" s="132" t="n"/>
      <c r="L31" s="132" t="n"/>
      <c r="M31" s="132" t="n"/>
      <c r="N31" s="132" t="n"/>
      <c r="O31" s="132" t="n"/>
      <c r="P31" s="132" t="n"/>
    </row>
    <row r="32" ht="15" customHeight="1" s="100">
      <c r="G32" s="98" t="n"/>
      <c r="H32" s="99" t="n"/>
      <c r="Q32" s="98" t="n"/>
    </row>
  </sheetData>
  <mergeCells count="15">
    <mergeCell ref="D6:E6"/>
    <mergeCell ref="B16:G16"/>
    <mergeCell ref="F1:L1"/>
    <mergeCell ref="D9:G9"/>
    <mergeCell ref="D3:G3"/>
    <mergeCell ref="L5:Q5"/>
    <mergeCell ref="D8:G8"/>
    <mergeCell ref="K11:Q11"/>
    <mergeCell ref="L8:Q8"/>
    <mergeCell ref="L3:Q3"/>
    <mergeCell ref="D10:G10"/>
    <mergeCell ref="B17:G22"/>
    <mergeCell ref="L4:Q4"/>
    <mergeCell ref="L6:Q6"/>
    <mergeCell ref="D4:G4"/>
  </mergeCells>
  <pageMargins left="0.7" right="0.7" top="0.75" bottom="0.75" header="0.3" footer="0.3"/>
  <pageSetup orientation="portrait" scale="60" fitToHeight="100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AC502"/>
  <sheetViews>
    <sheetView zoomScaleNormal="100" workbookViewId="0">
      <pane ySplit="1" topLeftCell="A2" activePane="bottomLeft" state="frozen"/>
      <selection pane="bottomLeft" activeCell="A13" sqref="A13:XFD13"/>
    </sheetView>
  </sheetViews>
  <sheetFormatPr baseColWidth="8" defaultRowHeight="15"/>
  <cols>
    <col width="36.5703125" customWidth="1" style="100" min="1" max="1"/>
    <col width="10.7109375" customWidth="1" style="100" min="2" max="2"/>
    <col hidden="1" width="13.42578125" customWidth="1" style="100" min="3" max="3"/>
    <col hidden="1" width="10.42578125" customWidth="1" style="100" min="4" max="4"/>
    <col hidden="1" width="9.140625" customWidth="1" style="100" min="5" max="6"/>
    <col hidden="1" width="11.5703125" customWidth="1" style="100" min="7" max="7"/>
    <col width="42.140625" customWidth="1" style="100" min="8" max="8"/>
    <col hidden="1" width="18.140625" customWidth="1" style="100" min="9" max="9"/>
    <col hidden="1" width="5.5703125" customWidth="1" style="100" min="10" max="10"/>
    <col hidden="1" width="7.28515625" customWidth="1" style="100" min="11" max="11"/>
    <col hidden="1" width="5" customWidth="1" style="19" min="12" max="12"/>
    <col hidden="1" width="11.140625" customWidth="1" style="24" min="13" max="13"/>
    <col hidden="1" width="5.28515625" customWidth="1" style="100" min="14" max="14"/>
    <col width="15.42578125" customWidth="1" style="100" min="15" max="15"/>
    <col width="12.5703125" customWidth="1" style="100" min="16" max="16"/>
    <col hidden="1" width="11.140625" customWidth="1" style="24" min="17" max="17"/>
    <col hidden="1" width="11" customWidth="1" style="100" min="18" max="18"/>
    <col width="7.85546875" bestFit="1" customWidth="1" style="100" min="19" max="19"/>
    <col hidden="1" width="11.85546875" customWidth="1" style="100" min="20" max="20"/>
    <col hidden="1" width="11.140625" customWidth="1" style="24" min="21" max="21"/>
    <col hidden="1" width="11.5703125" customWidth="1" style="100" min="22" max="22"/>
    <col hidden="1" width="14.42578125" customWidth="1" style="100" min="23" max="23"/>
    <col hidden="1" width="13.7109375" customWidth="1" style="100" min="24" max="24"/>
    <col hidden="1" width="11.28515625" customWidth="1" style="100" min="25" max="25"/>
    <col hidden="1" width="11.85546875" customWidth="1" style="100" min="26" max="26"/>
    <col hidden="1" width="9.7109375" customWidth="1" style="100" min="27" max="27"/>
    <col width="9.5703125" bestFit="1" customWidth="1" style="100" min="28" max="28"/>
    <col width="7.42578125" bestFit="1" customWidth="1" style="100" min="29" max="29"/>
  </cols>
  <sheetData>
    <row r="1" ht="15" customFormat="1" customHeight="1" s="114">
      <c r="A1" s="114" t="inlineStr">
        <is>
          <t>Bill Code</t>
        </is>
      </c>
      <c r="B1" s="7" t="inlineStr">
        <is>
          <t>Start Date</t>
        </is>
      </c>
      <c r="C1" s="7" t="inlineStr">
        <is>
          <t>End Date</t>
        </is>
      </c>
      <c r="D1" s="114" t="inlineStr">
        <is>
          <t>Day</t>
        </is>
      </c>
      <c r="E1" s="8" t="inlineStr">
        <is>
          <t>Time In</t>
        </is>
      </c>
      <c r="F1" s="8" t="inlineStr">
        <is>
          <t>Time out</t>
        </is>
      </c>
      <c r="G1" s="8" t="inlineStr">
        <is>
          <t>Length</t>
        </is>
      </c>
      <c r="H1" s="9" t="inlineStr">
        <is>
          <t>Media</t>
        </is>
      </c>
      <c r="I1" s="8" t="inlineStr">
        <is>
          <t>Program</t>
        </is>
      </c>
      <c r="J1" s="114" t="inlineStr">
        <is>
          <t>Lang.</t>
        </is>
      </c>
      <c r="K1" s="114" t="inlineStr">
        <is>
          <t>Format</t>
        </is>
      </c>
      <c r="L1" s="18" t="inlineStr">
        <is>
          <t>#</t>
        </is>
      </c>
      <c r="M1" s="23" t="inlineStr">
        <is>
          <t>Line</t>
        </is>
      </c>
      <c r="N1" s="114" t="inlineStr">
        <is>
          <t>Type</t>
        </is>
      </c>
      <c r="O1" s="114" t="inlineStr">
        <is>
          <t>Estimate</t>
        </is>
      </c>
      <c r="P1" s="115" t="inlineStr">
        <is>
          <t>Gross Rate</t>
        </is>
      </c>
      <c r="Q1" s="23" t="inlineStr">
        <is>
          <t>Make Good</t>
        </is>
      </c>
      <c r="R1" s="115" t="inlineStr">
        <is>
          <t>Spot Value</t>
        </is>
      </c>
      <c r="S1" s="151" t="inlineStr">
        <is>
          <t>Month</t>
        </is>
      </c>
      <c r="T1" s="115" t="inlineStr">
        <is>
          <t>Broker Fees</t>
        </is>
      </c>
      <c r="U1" s="23" t="inlineStr">
        <is>
          <t>Priority</t>
        </is>
      </c>
      <c r="V1" s="115" t="inlineStr">
        <is>
          <t>Station Net</t>
        </is>
      </c>
      <c r="W1" s="114" t="inlineStr">
        <is>
          <t>Sales Person</t>
        </is>
      </c>
      <c r="X1" s="114" t="inlineStr">
        <is>
          <t>Revenue Type</t>
        </is>
      </c>
      <c r="Y1" s="114" t="inlineStr">
        <is>
          <t>Billing Type</t>
        </is>
      </c>
      <c r="Z1" s="114" t="inlineStr">
        <is>
          <t>Agency?</t>
        </is>
      </c>
      <c r="AA1" s="114" t="inlineStr">
        <is>
          <t>Affidavit?</t>
        </is>
      </c>
      <c r="AB1" s="23" t="inlineStr">
        <is>
          <t>Contract</t>
        </is>
      </c>
      <c r="AC1" s="114" t="inlineStr">
        <is>
          <t>Market</t>
        </is>
      </c>
    </row>
    <row r="3" ht="15" customFormat="1" customHeight="1" s="116">
      <c r="A3" s="152" t="inlineStr">
        <is>
          <t>These are the lines you will paste in to show the monthly revenues</t>
        </is>
      </c>
      <c r="B3" s="153" t="n"/>
      <c r="C3" s="154" t="n"/>
      <c r="D3" s="39" t="n"/>
      <c r="E3" s="40" t="n"/>
      <c r="F3" s="40" t="n"/>
      <c r="G3" s="40" t="n"/>
      <c r="H3" s="155" t="n"/>
      <c r="I3" s="156" t="n"/>
      <c r="L3" s="33" t="n"/>
      <c r="M3" s="34" t="n"/>
      <c r="O3" s="34" t="n"/>
      <c r="P3" s="119" t="n"/>
      <c r="Q3" s="34" t="n"/>
      <c r="R3" s="119" t="n"/>
      <c r="T3" s="119" t="n"/>
      <c r="U3" s="34" t="n"/>
      <c r="V3" s="119" t="n"/>
    </row>
    <row r="4" ht="15" customFormat="1" customHeight="1" s="116">
      <c r="B4" s="117" t="n"/>
      <c r="C4" s="157" t="n"/>
      <c r="D4" s="28" t="n"/>
      <c r="E4" s="29" t="n"/>
      <c r="F4" s="29" t="n"/>
      <c r="G4" s="29" t="n"/>
      <c r="I4" s="156" t="n"/>
      <c r="L4" s="33" t="n"/>
      <c r="M4" s="34" t="n"/>
      <c r="O4" s="34" t="n"/>
      <c r="P4" s="119" t="n"/>
      <c r="Q4" s="34" t="n"/>
      <c r="R4" s="119" t="n"/>
      <c r="T4" s="119" t="n"/>
      <c r="U4" s="34" t="n"/>
      <c r="V4" s="119" t="n"/>
    </row>
    <row r="5" ht="15.75" customFormat="1" customHeight="1" s="116">
      <c r="A5" s="116" t="inlineStr">
        <is>
          <t>WorldLink:Icon Media Direct Gilt</t>
        </is>
      </c>
      <c r="B5" s="117" t="n">
        <v>46132</v>
      </c>
      <c r="C5" s="157">
        <f>B5</f>
        <v/>
      </c>
      <c r="D5" s="28">
        <f>TEXT(B5,"dddd")</f>
        <v/>
      </c>
      <c r="E5" s="29" t="n">
        <v>0</v>
      </c>
      <c r="F5" s="29" t="n">
        <v>0</v>
      </c>
      <c r="G5" s="29" t="n">
        <v>0</v>
      </c>
      <c r="H5" s="116" t="inlineStr">
        <is>
          <t>213798 Monthly Charges</t>
        </is>
      </c>
      <c r="I5" s="156" t="inlineStr">
        <is>
          <t>BILLING LINE</t>
        </is>
      </c>
      <c r="K5" s="116" t="inlineStr">
        <is>
          <t>NX</t>
        </is>
      </c>
      <c r="L5" s="33" t="n">
        <v>1</v>
      </c>
      <c r="M5" s="34" t="n"/>
      <c r="N5" s="116" t="inlineStr">
        <is>
          <t>COM</t>
        </is>
      </c>
      <c r="O5" s="34" t="n">
        <v>213798</v>
      </c>
      <c r="P5" s="119" t="n">
        <v>1080</v>
      </c>
      <c r="Q5" s="34" t="n"/>
      <c r="R5" s="119">
        <f>P5</f>
        <v/>
      </c>
      <c r="S5" s="116">
        <f>IF(Y5="Calendar",B5,DATE(IF(AND(MONTH(B5)=12,MONTH(B5+(7-WEEKDAY(B5,2)))=1),YEAR(B5)+1,YEAR(B5)),MONTH(B5+(7-WEEKDAY(B5,2))),1))</f>
        <v/>
      </c>
      <c r="T5" s="119">
        <f>P5*0.15</f>
        <v/>
      </c>
      <c r="U5" s="34" t="n">
        <v>4</v>
      </c>
      <c r="V5" s="119">
        <f>P5-T5</f>
        <v/>
      </c>
      <c r="W5" s="116" t="inlineStr">
        <is>
          <t>House</t>
        </is>
      </c>
      <c r="X5" s="116" t="inlineStr">
        <is>
          <t>Direct Response Sales</t>
        </is>
      </c>
      <c r="Y5" s="116" t="inlineStr">
        <is>
          <t>Broadcast</t>
        </is>
      </c>
      <c r="Z5" s="116" t="inlineStr">
        <is>
          <t>Agency</t>
        </is>
      </c>
      <c r="AA5" s="116" t="inlineStr">
        <is>
          <t>Y</t>
        </is>
      </c>
      <c r="AB5" s="34" t="n">
        <v>2610</v>
      </c>
      <c r="AC5" s="116" t="inlineStr">
        <is>
          <t>Admin</t>
        </is>
      </c>
    </row>
    <row r="6" ht="15.75" customFormat="1" customHeight="1" s="116">
      <c r="A6" s="116" t="inlineStr">
        <is>
          <t>WorldLink:Icon Media Direct Gilt</t>
        </is>
      </c>
      <c r="B6" s="117" t="n">
        <v>46162</v>
      </c>
      <c r="C6" s="157">
        <f>B6</f>
        <v/>
      </c>
      <c r="D6" s="28">
        <f>TEXT(B6,"dddd")</f>
        <v/>
      </c>
      <c r="E6" s="29" t="n">
        <v>0</v>
      </c>
      <c r="F6" s="29" t="n">
        <v>0</v>
      </c>
      <c r="G6" s="29" t="n">
        <v>0</v>
      </c>
      <c r="H6" s="116" t="inlineStr">
        <is>
          <t>213798 Monthly Charges</t>
        </is>
      </c>
      <c r="I6" s="156" t="inlineStr">
        <is>
          <t>BILLING LINE</t>
        </is>
      </c>
      <c r="K6" s="116" t="inlineStr">
        <is>
          <t>NX</t>
        </is>
      </c>
      <c r="L6" s="33" t="n">
        <v>1</v>
      </c>
      <c r="M6" s="34" t="n"/>
      <c r="N6" s="116" t="inlineStr">
        <is>
          <t>COM</t>
        </is>
      </c>
      <c r="O6" s="34" t="n">
        <v>213798</v>
      </c>
      <c r="P6" s="119" t="n">
        <v>1350</v>
      </c>
      <c r="Q6" s="34" t="n"/>
      <c r="R6" s="119">
        <f>P6</f>
        <v/>
      </c>
      <c r="S6" s="116">
        <f>IF(Y6="Calendar",B6,DATE(IF(AND(MONTH(B6)=12,MONTH(B6+(7-WEEKDAY(B6,2)))=1),YEAR(B6)+1,YEAR(B6)),MONTH(B6+(7-WEEKDAY(B6,2))),1))</f>
        <v/>
      </c>
      <c r="T6" s="119">
        <f>P6*0.15</f>
        <v/>
      </c>
      <c r="U6" s="34" t="n">
        <v>4</v>
      </c>
      <c r="V6" s="119">
        <f>P6-T6</f>
        <v/>
      </c>
      <c r="W6" s="116" t="inlineStr">
        <is>
          <t>House</t>
        </is>
      </c>
      <c r="X6" s="116" t="inlineStr">
        <is>
          <t>Direct Response Sales</t>
        </is>
      </c>
      <c r="Y6" s="116" t="inlineStr">
        <is>
          <t>Broadcast</t>
        </is>
      </c>
      <c r="Z6" s="116" t="inlineStr">
        <is>
          <t>Agency</t>
        </is>
      </c>
      <c r="AA6" s="116" t="inlineStr">
        <is>
          <t>Y</t>
        </is>
      </c>
      <c r="AB6" s="34" t="n">
        <v>2610</v>
      </c>
      <c r="AC6" s="116" t="inlineStr">
        <is>
          <t>Admin</t>
        </is>
      </c>
    </row>
    <row r="7" ht="15.75" customFormat="1" customHeight="1" s="116">
      <c r="A7" s="116" t="inlineStr">
        <is>
          <t>WorldLink:Icon Media Direct Gilt</t>
        </is>
      </c>
      <c r="B7" s="117" t="n">
        <v>46193</v>
      </c>
      <c r="C7" s="157">
        <f>B7</f>
        <v/>
      </c>
      <c r="D7" s="28">
        <f>TEXT(B7,"dddd")</f>
        <v/>
      </c>
      <c r="E7" s="29" t="n">
        <v>0</v>
      </c>
      <c r="F7" s="29" t="n">
        <v>0</v>
      </c>
      <c r="G7" s="29" t="n">
        <v>0</v>
      </c>
      <c r="H7" s="116" t="inlineStr">
        <is>
          <t>213798 Monthly Charges</t>
        </is>
      </c>
      <c r="I7" s="156" t="inlineStr">
        <is>
          <t>BILLING LINE</t>
        </is>
      </c>
      <c r="K7" s="116" t="inlineStr">
        <is>
          <t>NX</t>
        </is>
      </c>
      <c r="L7" s="33" t="n">
        <v>1</v>
      </c>
      <c r="M7" s="34" t="n"/>
      <c r="N7" s="116" t="inlineStr">
        <is>
          <t>COM</t>
        </is>
      </c>
      <c r="O7" s="34" t="n">
        <v>213798</v>
      </c>
      <c r="P7" s="119" t="n">
        <v>1080</v>
      </c>
      <c r="Q7" s="34" t="n"/>
      <c r="R7" s="119">
        <f>P7</f>
        <v/>
      </c>
      <c r="S7" s="116">
        <f>IF(Y7="Calendar",B7,DATE(IF(AND(MONTH(B7)=12,MONTH(B7+(7-WEEKDAY(B7,2)))=1),YEAR(B7)+1,YEAR(B7)),MONTH(B7+(7-WEEKDAY(B7,2))),1))</f>
        <v/>
      </c>
      <c r="T7" s="119">
        <f>P7*0.15</f>
        <v/>
      </c>
      <c r="U7" s="34" t="n">
        <v>4</v>
      </c>
      <c r="V7" s="119">
        <f>P7-T7</f>
        <v/>
      </c>
      <c r="W7" s="116" t="inlineStr">
        <is>
          <t>House</t>
        </is>
      </c>
      <c r="X7" s="116" t="inlineStr">
        <is>
          <t>Direct Response Sales</t>
        </is>
      </c>
      <c r="Y7" s="116" t="inlineStr">
        <is>
          <t>Broadcast</t>
        </is>
      </c>
      <c r="Z7" s="116" t="inlineStr">
        <is>
          <t>Agency</t>
        </is>
      </c>
      <c r="AA7" s="116" t="inlineStr">
        <is>
          <t>Y</t>
        </is>
      </c>
      <c r="AB7" s="34" t="n">
        <v>2610</v>
      </c>
      <c r="AC7" s="116" t="inlineStr">
        <is>
          <t>Admin</t>
        </is>
      </c>
    </row>
    <row r="8" ht="15" customFormat="1" customHeight="1" s="116">
      <c r="B8" s="117" t="n"/>
      <c r="C8" s="157" t="n"/>
      <c r="D8" s="28" t="n"/>
      <c r="E8" s="29" t="n"/>
      <c r="F8" s="29" t="n"/>
      <c r="G8" s="29" t="n"/>
      <c r="I8" s="156" t="n"/>
      <c r="L8" s="33" t="n"/>
      <c r="M8" s="34" t="n"/>
      <c r="O8" s="34" t="n"/>
      <c r="P8" s="119" t="n"/>
      <c r="Q8" s="34" t="n"/>
      <c r="R8" s="119" t="n"/>
      <c r="T8" s="119" t="n"/>
      <c r="U8" s="34" t="n"/>
      <c r="V8" s="119" t="n"/>
    </row>
    <row r="9" ht="15" customFormat="1" customHeight="1" s="116">
      <c r="A9" s="152" t="inlineStr">
        <is>
          <t>These are the lines you will paste in to show the monthly broker fees</t>
        </is>
      </c>
      <c r="B9" s="153" t="n"/>
      <c r="C9" s="154" t="n"/>
      <c r="D9" s="39" t="n"/>
      <c r="E9" s="40" t="n"/>
      <c r="F9" s="40" t="n"/>
      <c r="G9" s="40" t="n"/>
      <c r="H9" s="155" t="n"/>
      <c r="I9" s="156" t="n"/>
      <c r="L9" s="33" t="n"/>
      <c r="M9" s="34" t="n"/>
      <c r="O9" s="34" t="n"/>
      <c r="P9" s="119" t="n"/>
      <c r="Q9" s="34" t="n"/>
      <c r="R9" s="119" t="n"/>
      <c r="T9" s="119" t="n"/>
      <c r="U9" s="34" t="n"/>
      <c r="V9" s="119" t="n"/>
    </row>
    <row r="10" ht="15" customFormat="1" customHeight="1" s="116">
      <c r="B10" s="117" t="n"/>
      <c r="C10" s="157" t="n"/>
      <c r="D10" s="28" t="n"/>
      <c r="E10" s="29" t="n"/>
      <c r="F10" s="29" t="n"/>
      <c r="G10" s="29" t="n"/>
      <c r="I10" s="156" t="n"/>
      <c r="L10" s="33" t="n"/>
      <c r="M10" s="34" t="n"/>
      <c r="O10" s="34" t="n"/>
      <c r="P10" s="119" t="n"/>
      <c r="Q10" s="34" t="n"/>
      <c r="R10" s="119" t="n"/>
      <c r="T10" s="119" t="n"/>
      <c r="U10" s="34" t="n"/>
      <c r="V10" s="119" t="n"/>
    </row>
    <row r="11" ht="15" customFormat="1" customHeight="1" s="116">
      <c r="A11" s="116" t="inlineStr">
        <is>
          <t>WorldLink Broker Fees (DO NOT INVOICE)</t>
        </is>
      </c>
      <c r="B11" s="117" t="n">
        <v>46132</v>
      </c>
      <c r="C11" s="157">
        <f>B11</f>
        <v/>
      </c>
      <c r="D11" s="28">
        <f>TEXT(B11,"dddd")</f>
        <v/>
      </c>
      <c r="E11" s="29" t="n">
        <v>0</v>
      </c>
      <c r="F11" s="29" t="n">
        <v>0</v>
      </c>
      <c r="G11" s="29" t="n">
        <v>0</v>
      </c>
      <c r="H11" s="116" t="inlineStr">
        <is>
          <t>213798 Broker Fees</t>
        </is>
      </c>
      <c r="I11" s="156" t="inlineStr">
        <is>
          <t>BILLING LINE</t>
        </is>
      </c>
      <c r="K11" s="116" t="inlineStr">
        <is>
          <t>NX</t>
        </is>
      </c>
      <c r="L11" s="33" t="n">
        <v>1</v>
      </c>
      <c r="M11" s="34" t="n"/>
      <c r="N11" s="116" t="inlineStr">
        <is>
          <t>COM</t>
        </is>
      </c>
      <c r="O11" s="34" t="n">
        <v>213798</v>
      </c>
      <c r="P11" s="119" t="n">
        <v>-91.80000000000001</v>
      </c>
      <c r="Q11" s="34" t="n"/>
      <c r="R11" s="119">
        <f>P11</f>
        <v/>
      </c>
      <c r="S11" s="116">
        <f>IF(Y11="Calendar",B11,DATE(IF(AND(MONTH(B11)=12,MONTH(B11+(7-WEEKDAY(B11,2)))=1),YEAR(B11)+1,YEAR(B11)),MONTH(B11+(7-WEEKDAY(B11,2))),1))</f>
        <v/>
      </c>
      <c r="T11" s="119" t="n">
        <v>0</v>
      </c>
      <c r="U11" s="34" t="n">
        <v>4</v>
      </c>
      <c r="V11" s="119">
        <f>P11-T11</f>
        <v/>
      </c>
      <c r="W11" s="116" t="inlineStr">
        <is>
          <t>House</t>
        </is>
      </c>
      <c r="X11" s="116" t="inlineStr">
        <is>
          <t>Direct Response Sales</t>
        </is>
      </c>
      <c r="Y11" s="116" t="inlineStr">
        <is>
          <t>Broadcast</t>
        </is>
      </c>
      <c r="Z11" s="116" t="inlineStr">
        <is>
          <t>Agency</t>
        </is>
      </c>
      <c r="AA11" s="116" t="inlineStr">
        <is>
          <t>Y</t>
        </is>
      </c>
      <c r="AB11" s="34" t="n">
        <v>2610</v>
      </c>
      <c r="AC11" s="116" t="inlineStr">
        <is>
          <t>Admin</t>
        </is>
      </c>
    </row>
    <row r="12" ht="15" customFormat="1" customHeight="1" s="116">
      <c r="A12" s="116" t="inlineStr">
        <is>
          <t>WorldLink Broker Fees (DO NOT INVOICE)</t>
        </is>
      </c>
      <c r="B12" s="117" t="n">
        <v>46162</v>
      </c>
      <c r="C12" s="157">
        <f>B12</f>
        <v/>
      </c>
      <c r="D12" s="28">
        <f>TEXT(B12,"dddd")</f>
        <v/>
      </c>
      <c r="E12" s="29" t="n">
        <v>0</v>
      </c>
      <c r="F12" s="29" t="n">
        <v>0</v>
      </c>
      <c r="G12" s="29" t="n">
        <v>0</v>
      </c>
      <c r="H12" s="116" t="inlineStr">
        <is>
          <t>213798 Broker Fees</t>
        </is>
      </c>
      <c r="I12" s="156" t="inlineStr">
        <is>
          <t>BILLING LINE</t>
        </is>
      </c>
      <c r="K12" s="116" t="inlineStr">
        <is>
          <t>NX</t>
        </is>
      </c>
      <c r="L12" s="33" t="n">
        <v>1</v>
      </c>
      <c r="M12" s="34" t="n"/>
      <c r="N12" s="116" t="inlineStr">
        <is>
          <t>COM</t>
        </is>
      </c>
      <c r="O12" s="34" t="n">
        <v>213798</v>
      </c>
      <c r="P12" s="119" t="n">
        <v>-114.75</v>
      </c>
      <c r="Q12" s="34" t="n"/>
      <c r="R12" s="119">
        <f>P12</f>
        <v/>
      </c>
      <c r="S12" s="116">
        <f>IF(Y12="Calendar",B12,DATE(IF(AND(MONTH(B12)=12,MONTH(B12+(7-WEEKDAY(B12,2)))=1),YEAR(B12)+1,YEAR(B12)),MONTH(B12+(7-WEEKDAY(B12,2))),1))</f>
        <v/>
      </c>
      <c r="T12" s="119" t="n">
        <v>0</v>
      </c>
      <c r="U12" s="34" t="n">
        <v>4</v>
      </c>
      <c r="V12" s="119">
        <f>P12-T12</f>
        <v/>
      </c>
      <c r="W12" s="116" t="inlineStr">
        <is>
          <t>House</t>
        </is>
      </c>
      <c r="X12" s="116" t="inlineStr">
        <is>
          <t>Direct Response Sales</t>
        </is>
      </c>
      <c r="Y12" s="116" t="inlineStr">
        <is>
          <t>Broadcast</t>
        </is>
      </c>
      <c r="Z12" s="116" t="inlineStr">
        <is>
          <t>Agency</t>
        </is>
      </c>
      <c r="AA12" s="116" t="inlineStr">
        <is>
          <t>Y</t>
        </is>
      </c>
      <c r="AB12" s="34" t="n">
        <v>2610</v>
      </c>
      <c r="AC12" s="116" t="inlineStr">
        <is>
          <t>Admin</t>
        </is>
      </c>
    </row>
    <row r="13" ht="15" customFormat="1" customHeight="1" s="116">
      <c r="A13" s="116" t="inlineStr">
        <is>
          <t>WorldLink Broker Fees (DO NOT INVOICE)</t>
        </is>
      </c>
      <c r="B13" s="117" t="n">
        <v>46193</v>
      </c>
      <c r="C13" s="157">
        <f>B13</f>
        <v/>
      </c>
      <c r="D13" s="28">
        <f>TEXT(B13,"dddd")</f>
        <v/>
      </c>
      <c r="E13" s="29" t="n">
        <v>0</v>
      </c>
      <c r="F13" s="29" t="n">
        <v>0</v>
      </c>
      <c r="G13" s="29" t="n">
        <v>0</v>
      </c>
      <c r="H13" s="116" t="inlineStr">
        <is>
          <t>213798 Broker Fees</t>
        </is>
      </c>
      <c r="I13" s="156" t="inlineStr">
        <is>
          <t>BILLING LINE</t>
        </is>
      </c>
      <c r="K13" s="116" t="inlineStr">
        <is>
          <t>NX</t>
        </is>
      </c>
      <c r="L13" s="33" t="n">
        <v>1</v>
      </c>
      <c r="M13" s="34" t="n"/>
      <c r="N13" s="116" t="inlineStr">
        <is>
          <t>COM</t>
        </is>
      </c>
      <c r="O13" s="34" t="n">
        <v>213798</v>
      </c>
      <c r="P13" s="119" t="n">
        <v>-91.80000000000001</v>
      </c>
      <c r="Q13" s="34" t="n"/>
      <c r="R13" s="119">
        <f>P13</f>
        <v/>
      </c>
      <c r="S13" s="116">
        <f>IF(Y13="Calendar",B13,DATE(IF(AND(MONTH(B13)=12,MONTH(B13+(7-WEEKDAY(B13,2)))=1),YEAR(B13)+1,YEAR(B13)),MONTH(B13+(7-WEEKDAY(B13,2))),1))</f>
        <v/>
      </c>
      <c r="T13" s="119" t="n">
        <v>0</v>
      </c>
      <c r="U13" s="34" t="n">
        <v>4</v>
      </c>
      <c r="V13" s="119">
        <f>P13-T13</f>
        <v/>
      </c>
      <c r="W13" s="116" t="inlineStr">
        <is>
          <t>House</t>
        </is>
      </c>
      <c r="X13" s="116" t="inlineStr">
        <is>
          <t>Direct Response Sales</t>
        </is>
      </c>
      <c r="Y13" s="116" t="inlineStr">
        <is>
          <t>Broadcast</t>
        </is>
      </c>
      <c r="Z13" s="116" t="inlineStr">
        <is>
          <t>Agency</t>
        </is>
      </c>
      <c r="AA13" s="116" t="inlineStr">
        <is>
          <t>Y</t>
        </is>
      </c>
      <c r="AB13" s="34" t="n">
        <v>2610</v>
      </c>
      <c r="AC13" s="116" t="inlineStr">
        <is>
          <t>Admin</t>
        </is>
      </c>
    </row>
    <row r="14" ht="15" customFormat="1" customHeight="1" s="116">
      <c r="B14" s="117" t="n"/>
      <c r="C14" s="157" t="n"/>
      <c r="D14" s="28" t="n"/>
      <c r="E14" s="29" t="n"/>
      <c r="F14" s="29" t="n"/>
      <c r="G14" s="29" t="n"/>
      <c r="I14" s="156" t="n"/>
      <c r="L14" s="33" t="n"/>
      <c r="M14" s="34" t="n"/>
      <c r="O14" s="34" t="n"/>
      <c r="P14" s="119" t="n"/>
      <c r="Q14" s="34" t="n"/>
      <c r="R14" s="119" t="n"/>
      <c r="T14" s="119" t="n"/>
      <c r="U14" s="34" t="n"/>
      <c r="V14" s="119" t="n"/>
    </row>
    <row r="15" ht="15" customFormat="1" customHeight="1" s="116">
      <c r="B15" s="117" t="n"/>
      <c r="C15" s="157" t="n"/>
      <c r="D15" s="28" t="n"/>
      <c r="E15" s="29" t="n"/>
      <c r="F15" s="29" t="n"/>
      <c r="G15" s="29" t="n"/>
      <c r="I15" s="156" t="n"/>
      <c r="L15" s="33" t="n"/>
      <c r="M15" s="34" t="n"/>
      <c r="O15" s="34" t="n"/>
      <c r="P15" s="119" t="n"/>
      <c r="Q15" s="34" t="n"/>
      <c r="R15" s="119" t="n"/>
      <c r="T15" s="119" t="n"/>
      <c r="U15" s="34" t="n"/>
      <c r="V15" s="119" t="n"/>
    </row>
    <row r="16" ht="15" customFormat="1" customHeight="1" s="116">
      <c r="B16" s="117" t="n"/>
      <c r="C16" s="157" t="n"/>
      <c r="D16" s="28" t="n"/>
      <c r="E16" s="29" t="n"/>
      <c r="F16" s="29" t="n"/>
      <c r="G16" s="29" t="n"/>
      <c r="I16" s="156" t="n"/>
      <c r="L16" s="33" t="n"/>
      <c r="M16" s="34" t="n"/>
      <c r="O16" s="34" t="n"/>
      <c r="P16" s="119" t="n"/>
      <c r="Q16" s="34" t="n"/>
      <c r="R16" s="119" t="n"/>
      <c r="T16" s="119" t="n"/>
      <c r="U16" s="34" t="n"/>
      <c r="V16" s="119" t="n"/>
    </row>
    <row r="17" ht="15" customFormat="1" customHeight="1" s="116">
      <c r="B17" s="117" t="n"/>
      <c r="C17" s="157" t="n"/>
      <c r="D17" s="28" t="n"/>
      <c r="E17" s="29" t="n"/>
      <c r="F17" s="29" t="n"/>
      <c r="G17" s="29" t="n"/>
      <c r="I17" s="156" t="n"/>
      <c r="L17" s="33" t="n"/>
      <c r="M17" s="34" t="n"/>
      <c r="O17" s="34" t="n"/>
      <c r="P17" s="119" t="n"/>
      <c r="Q17" s="34" t="n"/>
      <c r="R17" s="119" t="n"/>
      <c r="T17" s="119" t="n"/>
      <c r="U17" s="34" t="n"/>
      <c r="V17" s="119" t="n"/>
    </row>
    <row r="18" ht="15" customFormat="1" customHeight="1" s="116">
      <c r="B18" s="117" t="n"/>
      <c r="C18" s="157" t="n"/>
      <c r="D18" s="28" t="n"/>
      <c r="E18" s="29" t="n"/>
      <c r="F18" s="29" t="n"/>
      <c r="G18" s="29" t="n"/>
      <c r="I18" s="156" t="n"/>
      <c r="L18" s="33" t="n"/>
      <c r="M18" s="34" t="n"/>
      <c r="O18" s="34" t="n"/>
      <c r="P18" s="119" t="n"/>
      <c r="Q18" s="34" t="n"/>
      <c r="R18" s="119" t="n"/>
      <c r="T18" s="119" t="n"/>
      <c r="U18" s="34" t="n"/>
      <c r="V18" s="119" t="n"/>
    </row>
    <row r="19" ht="15" customFormat="1" customHeight="1" s="116">
      <c r="B19" s="117" t="n"/>
      <c r="C19" s="157" t="n"/>
      <c r="D19" s="28" t="n"/>
      <c r="E19" s="29" t="n"/>
      <c r="F19" s="29" t="n"/>
      <c r="G19" s="29" t="n"/>
      <c r="I19" s="156" t="n"/>
      <c r="L19" s="33" t="n"/>
      <c r="M19" s="34" t="n"/>
      <c r="O19" s="34" t="n"/>
      <c r="P19" s="119" t="n"/>
      <c r="Q19" s="34" t="n"/>
      <c r="R19" s="119" t="n"/>
      <c r="T19" s="119" t="n"/>
      <c r="U19" s="34" t="n"/>
      <c r="V19" s="119" t="n"/>
    </row>
    <row r="20" ht="15" customFormat="1" customHeight="1" s="116">
      <c r="B20" s="117" t="n"/>
      <c r="C20" s="157" t="n"/>
      <c r="D20" s="28" t="n"/>
      <c r="E20" s="29" t="n"/>
      <c r="F20" s="29" t="n"/>
      <c r="G20" s="29" t="n"/>
      <c r="I20" s="156" t="n"/>
      <c r="L20" s="33" t="n"/>
      <c r="M20" s="34" t="n"/>
      <c r="O20" s="34" t="n"/>
      <c r="P20" s="119" t="n"/>
      <c r="Q20" s="34" t="n"/>
      <c r="R20" s="119" t="n"/>
      <c r="T20" s="119" t="n"/>
      <c r="U20" s="34" t="n"/>
      <c r="V20" s="119" t="n"/>
    </row>
    <row r="21" ht="15" customFormat="1" customHeight="1" s="116">
      <c r="B21" s="117" t="n"/>
      <c r="C21" s="157" t="n"/>
      <c r="D21" s="28" t="n"/>
      <c r="E21" s="29" t="n"/>
      <c r="F21" s="29" t="n"/>
      <c r="G21" s="29" t="n"/>
      <c r="I21" s="156" t="n"/>
      <c r="L21" s="33" t="n"/>
      <c r="M21" s="34" t="n"/>
      <c r="O21" s="34" t="n"/>
      <c r="P21" s="119" t="n"/>
      <c r="Q21" s="34" t="n"/>
      <c r="R21" s="119" t="n"/>
      <c r="T21" s="119" t="n"/>
      <c r="U21" s="34" t="n"/>
      <c r="V21" s="119" t="n"/>
    </row>
    <row r="22" ht="15" customFormat="1" customHeight="1" s="116">
      <c r="B22" s="117" t="n"/>
      <c r="C22" s="157" t="n"/>
      <c r="D22" s="28" t="n"/>
      <c r="E22" s="29" t="n"/>
      <c r="F22" s="29" t="n"/>
      <c r="G22" s="29" t="n"/>
      <c r="I22" s="156" t="n"/>
      <c r="L22" s="33" t="n"/>
      <c r="M22" s="34" t="n"/>
      <c r="O22" s="34" t="n"/>
      <c r="P22" s="119" t="n"/>
      <c r="Q22" s="34" t="n"/>
      <c r="R22" s="119" t="n"/>
      <c r="T22" s="119" t="n"/>
      <c r="U22" s="34" t="n"/>
      <c r="V22" s="119" t="n"/>
    </row>
    <row r="23" ht="15" customFormat="1" customHeight="1" s="116">
      <c r="B23" s="117" t="n"/>
      <c r="C23" s="157" t="n"/>
      <c r="D23" s="28" t="n"/>
      <c r="E23" s="29" t="n"/>
      <c r="F23" s="29" t="n"/>
      <c r="G23" s="29" t="n"/>
      <c r="I23" s="156" t="n"/>
      <c r="L23" s="33" t="n"/>
      <c r="M23" s="34" t="n"/>
      <c r="O23" s="34" t="n"/>
      <c r="P23" s="119" t="n"/>
      <c r="Q23" s="34" t="n"/>
      <c r="R23" s="119" t="n"/>
      <c r="T23" s="119" t="n"/>
      <c r="U23" s="34" t="n"/>
      <c r="V23" s="119" t="n"/>
    </row>
    <row r="24" ht="15" customFormat="1" customHeight="1" s="116">
      <c r="B24" s="117" t="n"/>
      <c r="C24" s="157" t="n"/>
      <c r="D24" s="28" t="n"/>
      <c r="E24" s="29" t="n"/>
      <c r="F24" s="29" t="n"/>
      <c r="G24" s="29" t="n"/>
      <c r="I24" s="156" t="n"/>
      <c r="L24" s="33" t="n"/>
      <c r="M24" s="34" t="n"/>
      <c r="O24" s="34" t="n"/>
      <c r="P24" s="119" t="n"/>
      <c r="Q24" s="34" t="n"/>
      <c r="R24" s="119" t="n"/>
      <c r="T24" s="119" t="n"/>
      <c r="U24" s="34" t="n"/>
      <c r="V24" s="119" t="n"/>
    </row>
    <row r="25" ht="15" customFormat="1" customHeight="1" s="116">
      <c r="B25" s="117" t="n"/>
      <c r="C25" s="157" t="n"/>
      <c r="D25" s="28" t="n"/>
      <c r="E25" s="29" t="n"/>
      <c r="F25" s="29" t="n"/>
      <c r="G25" s="29" t="n"/>
      <c r="I25" s="156" t="n"/>
      <c r="L25" s="33" t="n"/>
      <c r="M25" s="34" t="n"/>
      <c r="O25" s="34" t="n"/>
      <c r="P25" s="119" t="n"/>
      <c r="Q25" s="34" t="n"/>
      <c r="R25" s="119" t="n"/>
      <c r="T25" s="119" t="n"/>
      <c r="U25" s="34" t="n"/>
      <c r="V25" s="119" t="n"/>
    </row>
    <row r="26" ht="15" customFormat="1" customHeight="1" s="116">
      <c r="B26" s="117" t="n"/>
      <c r="C26" s="157" t="n"/>
      <c r="D26" s="28" t="n"/>
      <c r="E26" s="29" t="n"/>
      <c r="F26" s="29" t="n"/>
      <c r="G26" s="29" t="n"/>
      <c r="I26" s="156" t="n"/>
      <c r="L26" s="33" t="n"/>
      <c r="M26" s="34" t="n"/>
      <c r="O26" s="34" t="n"/>
      <c r="P26" s="119" t="n"/>
      <c r="Q26" s="34" t="n"/>
      <c r="R26" s="119" t="n"/>
      <c r="T26" s="119" t="n"/>
      <c r="U26" s="34" t="n"/>
      <c r="V26" s="119" t="n"/>
    </row>
    <row r="27" ht="15" customFormat="1" customHeight="1" s="116">
      <c r="B27" s="117" t="n"/>
      <c r="C27" s="157" t="n"/>
      <c r="D27" s="28" t="n"/>
      <c r="E27" s="29" t="n"/>
      <c r="F27" s="29" t="n"/>
      <c r="G27" s="29" t="n"/>
      <c r="I27" s="156" t="n"/>
      <c r="L27" s="33" t="n"/>
      <c r="M27" s="34" t="n"/>
      <c r="O27" s="34" t="n"/>
      <c r="P27" s="119" t="n"/>
      <c r="Q27" s="34" t="n"/>
      <c r="R27" s="119" t="n"/>
      <c r="T27" s="119" t="n"/>
      <c r="U27" s="34" t="n"/>
      <c r="V27" s="119" t="n"/>
    </row>
    <row r="28" ht="15" customFormat="1" customHeight="1" s="116">
      <c r="B28" s="117" t="n"/>
      <c r="C28" s="157" t="n"/>
      <c r="D28" s="28" t="n"/>
      <c r="E28" s="29" t="n"/>
      <c r="F28" s="29" t="n"/>
      <c r="G28" s="29" t="n"/>
      <c r="I28" s="156" t="n"/>
      <c r="L28" s="33" t="n"/>
      <c r="M28" s="34" t="n"/>
      <c r="O28" s="34" t="n"/>
      <c r="P28" s="119" t="n"/>
      <c r="Q28" s="34" t="n"/>
      <c r="R28" s="119" t="n"/>
      <c r="T28" s="119" t="n"/>
      <c r="U28" s="34" t="n"/>
      <c r="V28" s="119" t="n"/>
    </row>
    <row r="29" ht="15" customFormat="1" customHeight="1" s="116">
      <c r="B29" s="117" t="n"/>
      <c r="C29" s="157" t="n"/>
      <c r="D29" s="28" t="n"/>
      <c r="E29" s="29" t="n"/>
      <c r="F29" s="29" t="n"/>
      <c r="G29" s="29" t="n"/>
      <c r="I29" s="156" t="n"/>
      <c r="L29" s="33" t="n"/>
      <c r="M29" s="34" t="n"/>
      <c r="O29" s="34" t="n"/>
      <c r="P29" s="119" t="n"/>
      <c r="Q29" s="34" t="n"/>
      <c r="R29" s="119" t="n"/>
      <c r="T29" s="119" t="n"/>
      <c r="U29" s="34" t="n"/>
      <c r="V29" s="119" t="n"/>
    </row>
    <row r="30" ht="15" customFormat="1" customHeight="1" s="116">
      <c r="B30" s="117" t="n"/>
      <c r="C30" s="157" t="n"/>
      <c r="D30" s="28" t="n"/>
      <c r="E30" s="29" t="n"/>
      <c r="F30" s="29" t="n"/>
      <c r="G30" s="29" t="n"/>
      <c r="I30" s="156" t="n"/>
      <c r="L30" s="33" t="n"/>
      <c r="M30" s="34" t="n"/>
      <c r="O30" s="34" t="n"/>
      <c r="P30" s="119" t="n"/>
      <c r="Q30" s="34" t="n"/>
      <c r="R30" s="119" t="n"/>
      <c r="T30" s="119" t="n"/>
      <c r="U30" s="34" t="n"/>
      <c r="V30" s="119" t="n"/>
    </row>
    <row r="31" ht="15" customFormat="1" customHeight="1" s="116">
      <c r="B31" s="117" t="n"/>
      <c r="C31" s="157" t="n"/>
      <c r="D31" s="28" t="n"/>
      <c r="E31" s="29" t="n"/>
      <c r="F31" s="29" t="n"/>
      <c r="G31" s="29" t="n"/>
      <c r="I31" s="156" t="n"/>
      <c r="L31" s="33" t="n"/>
      <c r="M31" s="34" t="n"/>
      <c r="O31" s="34" t="n"/>
      <c r="P31" s="119" t="n"/>
      <c r="Q31" s="34" t="n"/>
      <c r="R31" s="119" t="n"/>
      <c r="T31" s="119" t="n"/>
      <c r="U31" s="34" t="n"/>
      <c r="V31" s="119" t="n"/>
    </row>
    <row r="32" ht="15" customFormat="1" customHeight="1" s="116">
      <c r="B32" s="117" t="n"/>
      <c r="C32" s="157" t="n"/>
      <c r="D32" s="28" t="n"/>
      <c r="E32" s="29" t="n"/>
      <c r="F32" s="29" t="n"/>
      <c r="G32" s="29" t="n"/>
      <c r="I32" s="156" t="n"/>
      <c r="L32" s="33" t="n"/>
      <c r="M32" s="34" t="n"/>
      <c r="O32" s="34" t="n"/>
      <c r="P32" s="119" t="n"/>
      <c r="Q32" s="34" t="n"/>
      <c r="R32" s="119" t="n"/>
      <c r="T32" s="119" t="n"/>
      <c r="U32" s="34" t="n"/>
      <c r="V32" s="119" t="n"/>
    </row>
    <row r="33" ht="15" customFormat="1" customHeight="1" s="116">
      <c r="B33" s="117" t="n"/>
      <c r="C33" s="157" t="n"/>
      <c r="D33" s="28" t="n"/>
      <c r="E33" s="29" t="n"/>
      <c r="F33" s="29" t="n"/>
      <c r="G33" s="29" t="n"/>
      <c r="I33" s="156" t="n"/>
      <c r="L33" s="33" t="n"/>
      <c r="M33" s="34" t="n"/>
      <c r="O33" s="34" t="n"/>
      <c r="P33" s="119" t="n"/>
      <c r="Q33" s="34" t="n"/>
      <c r="R33" s="119" t="n"/>
      <c r="T33" s="119" t="n"/>
      <c r="U33" s="34" t="n"/>
      <c r="V33" s="119" t="n"/>
    </row>
    <row r="34" ht="15" customFormat="1" customHeight="1" s="116">
      <c r="B34" s="117" t="n"/>
      <c r="C34" s="157" t="n"/>
      <c r="D34" s="28" t="n"/>
      <c r="E34" s="29" t="n"/>
      <c r="F34" s="29" t="n"/>
      <c r="G34" s="29" t="n"/>
      <c r="I34" s="156" t="n"/>
      <c r="L34" s="33" t="n"/>
      <c r="M34" s="34" t="n"/>
      <c r="O34" s="34" t="n"/>
      <c r="P34" s="119" t="n"/>
      <c r="Q34" s="34" t="n"/>
      <c r="R34" s="119" t="n"/>
      <c r="T34" s="119" t="n"/>
      <c r="U34" s="34" t="n"/>
      <c r="V34" s="119" t="n"/>
    </row>
    <row r="35" ht="15" customFormat="1" customHeight="1" s="116">
      <c r="B35" s="117" t="n"/>
      <c r="C35" s="157" t="n"/>
      <c r="D35" s="28" t="n"/>
      <c r="E35" s="29" t="n"/>
      <c r="F35" s="29" t="n"/>
      <c r="G35" s="29" t="n"/>
      <c r="I35" s="156" t="n"/>
      <c r="L35" s="33" t="n"/>
      <c r="M35" s="34" t="n"/>
      <c r="O35" s="34" t="n"/>
      <c r="P35" s="119" t="n"/>
      <c r="Q35" s="34" t="n"/>
      <c r="R35" s="119" t="n"/>
      <c r="T35" s="119" t="n"/>
      <c r="U35" s="34" t="n"/>
      <c r="V35" s="119" t="n"/>
    </row>
    <row r="36" ht="15" customFormat="1" customHeight="1" s="116">
      <c r="B36" s="117" t="n"/>
      <c r="C36" s="157" t="n"/>
      <c r="D36" s="28" t="n"/>
      <c r="E36" s="29" t="n"/>
      <c r="F36" s="29" t="n"/>
      <c r="G36" s="29" t="n"/>
      <c r="I36" s="156" t="n"/>
      <c r="L36" s="33" t="n"/>
      <c r="M36" s="34" t="n"/>
      <c r="O36" s="34" t="n"/>
      <c r="P36" s="119" t="n"/>
      <c r="Q36" s="34" t="n"/>
      <c r="R36" s="119" t="n"/>
      <c r="T36" s="119" t="n"/>
      <c r="U36" s="34" t="n"/>
      <c r="V36" s="119" t="n"/>
    </row>
    <row r="37" ht="15" customFormat="1" customHeight="1" s="116">
      <c r="B37" s="117" t="n"/>
      <c r="C37" s="157" t="n"/>
      <c r="D37" s="28" t="n"/>
      <c r="E37" s="29" t="n"/>
      <c r="F37" s="29" t="n"/>
      <c r="G37" s="29" t="n"/>
      <c r="I37" s="156" t="n"/>
      <c r="L37" s="33" t="n"/>
      <c r="M37" s="34" t="n"/>
      <c r="O37" s="34" t="n"/>
      <c r="P37" s="119" t="n"/>
      <c r="Q37" s="34" t="n"/>
      <c r="R37" s="119" t="n"/>
      <c r="T37" s="119" t="n"/>
      <c r="U37" s="34" t="n"/>
      <c r="V37" s="119" t="n"/>
    </row>
    <row r="38" ht="15" customFormat="1" customHeight="1" s="116">
      <c r="B38" s="117" t="n"/>
      <c r="C38" s="157" t="n"/>
      <c r="D38" s="28" t="n"/>
      <c r="E38" s="29" t="n"/>
      <c r="F38" s="29" t="n"/>
      <c r="G38" s="29" t="n"/>
      <c r="I38" s="156" t="n"/>
      <c r="L38" s="33" t="n"/>
      <c r="M38" s="34" t="n"/>
      <c r="O38" s="34" t="n"/>
      <c r="P38" s="119" t="n"/>
      <c r="Q38" s="34" t="n"/>
      <c r="R38" s="119" t="n"/>
      <c r="T38" s="119" t="n"/>
      <c r="U38" s="34" t="n"/>
      <c r="V38" s="119" t="n"/>
    </row>
    <row r="39" ht="15" customFormat="1" customHeight="1" s="116">
      <c r="B39" s="117" t="n"/>
      <c r="C39" s="157" t="n"/>
      <c r="D39" s="28" t="n"/>
      <c r="E39" s="29" t="n"/>
      <c r="F39" s="29" t="n"/>
      <c r="G39" s="29" t="n"/>
      <c r="I39" s="156" t="n"/>
      <c r="L39" s="33" t="n"/>
      <c r="M39" s="34" t="n"/>
      <c r="O39" s="34" t="n"/>
      <c r="P39" s="119" t="n"/>
      <c r="Q39" s="34" t="n"/>
      <c r="R39" s="119" t="n"/>
      <c r="T39" s="119" t="n"/>
      <c r="U39" s="34" t="n"/>
      <c r="V39" s="119" t="n"/>
    </row>
    <row r="40" ht="15" customFormat="1" customHeight="1" s="116">
      <c r="B40" s="117" t="n"/>
      <c r="C40" s="157" t="n"/>
      <c r="D40" s="28" t="n"/>
      <c r="E40" s="29" t="n"/>
      <c r="F40" s="29" t="n"/>
      <c r="G40" s="29" t="n"/>
      <c r="I40" s="156" t="n"/>
      <c r="L40" s="33" t="n"/>
      <c r="M40" s="34" t="n"/>
      <c r="O40" s="34" t="n"/>
      <c r="P40" s="119" t="n"/>
      <c r="Q40" s="34" t="n"/>
      <c r="R40" s="119" t="n"/>
      <c r="T40" s="119" t="n"/>
      <c r="U40" s="34" t="n"/>
      <c r="V40" s="119" t="n"/>
    </row>
    <row r="41" ht="15" customFormat="1" customHeight="1" s="116">
      <c r="B41" s="117" t="n"/>
      <c r="C41" s="157" t="n"/>
      <c r="D41" s="28" t="n"/>
      <c r="E41" s="29" t="n"/>
      <c r="F41" s="29" t="n"/>
      <c r="G41" s="29" t="n"/>
      <c r="I41" s="156" t="n"/>
      <c r="L41" s="33" t="n"/>
      <c r="M41" s="34" t="n"/>
      <c r="O41" s="34" t="n"/>
      <c r="P41" s="119" t="n"/>
      <c r="Q41" s="34" t="n"/>
      <c r="R41" s="119" t="n"/>
      <c r="T41" s="119" t="n"/>
      <c r="U41" s="34" t="n"/>
      <c r="V41" s="119" t="n"/>
    </row>
    <row r="42" ht="15" customFormat="1" customHeight="1" s="116">
      <c r="B42" s="117" t="n"/>
      <c r="C42" s="157" t="n"/>
      <c r="D42" s="28" t="n"/>
      <c r="E42" s="29" t="n"/>
      <c r="F42" s="29" t="n"/>
      <c r="G42" s="29" t="n"/>
      <c r="I42" s="156" t="n"/>
      <c r="L42" s="33" t="n"/>
      <c r="M42" s="34" t="n"/>
      <c r="O42" s="34" t="n"/>
      <c r="P42" s="119" t="n"/>
      <c r="Q42" s="34" t="n"/>
      <c r="R42" s="119" t="n"/>
      <c r="T42" s="119" t="n"/>
      <c r="U42" s="34" t="n"/>
      <c r="V42" s="119" t="n"/>
    </row>
    <row r="43" ht="15" customFormat="1" customHeight="1" s="116">
      <c r="B43" s="117" t="n"/>
      <c r="C43" s="157" t="n"/>
      <c r="D43" s="28" t="n"/>
      <c r="E43" s="29" t="n"/>
      <c r="F43" s="29" t="n"/>
      <c r="G43" s="29" t="n"/>
      <c r="I43" s="156" t="n"/>
      <c r="L43" s="33" t="n"/>
      <c r="M43" s="34" t="n"/>
      <c r="O43" s="34" t="n"/>
      <c r="P43" s="119" t="n"/>
      <c r="Q43" s="34" t="n"/>
      <c r="R43" s="119" t="n"/>
      <c r="T43" s="119" t="n"/>
      <c r="U43" s="34" t="n"/>
      <c r="V43" s="119" t="n"/>
    </row>
    <row r="44" ht="15" customFormat="1" customHeight="1" s="116">
      <c r="B44" s="117" t="n"/>
      <c r="C44" s="157" t="n"/>
      <c r="D44" s="28" t="n"/>
      <c r="E44" s="29" t="n"/>
      <c r="F44" s="29" t="n"/>
      <c r="G44" s="29" t="n"/>
      <c r="I44" s="156" t="n"/>
      <c r="L44" s="33" t="n"/>
      <c r="M44" s="34" t="n"/>
      <c r="O44" s="34" t="n"/>
      <c r="P44" s="119" t="n"/>
      <c r="Q44" s="34" t="n"/>
      <c r="R44" s="119" t="n"/>
      <c r="T44" s="119" t="n"/>
      <c r="U44" s="34" t="n"/>
      <c r="V44" s="119" t="n"/>
    </row>
    <row r="45" ht="15" customFormat="1" customHeight="1" s="116">
      <c r="B45" s="117" t="n"/>
      <c r="C45" s="157" t="n"/>
      <c r="D45" s="28" t="n"/>
      <c r="E45" s="29" t="n"/>
      <c r="F45" s="29" t="n"/>
      <c r="G45" s="29" t="n"/>
      <c r="I45" s="156" t="n"/>
      <c r="L45" s="33" t="n"/>
      <c r="M45" s="34" t="n"/>
      <c r="O45" s="34" t="n"/>
      <c r="P45" s="119" t="n"/>
      <c r="Q45" s="34" t="n"/>
      <c r="R45" s="119" t="n"/>
      <c r="T45" s="119" t="n"/>
      <c r="U45" s="34" t="n"/>
      <c r="V45" s="119" t="n"/>
    </row>
    <row r="46" ht="15" customFormat="1" customHeight="1" s="116">
      <c r="B46" s="117" t="n"/>
      <c r="C46" s="157" t="n"/>
      <c r="D46" s="28" t="n"/>
      <c r="E46" s="29" t="n"/>
      <c r="F46" s="29" t="n"/>
      <c r="G46" s="29" t="n"/>
      <c r="I46" s="156" t="n"/>
      <c r="L46" s="33" t="n"/>
      <c r="M46" s="34" t="n"/>
      <c r="O46" s="34" t="n"/>
      <c r="P46" s="119" t="n"/>
      <c r="Q46" s="34" t="n"/>
      <c r="R46" s="119" t="n"/>
      <c r="T46" s="119" t="n"/>
      <c r="U46" s="34" t="n"/>
      <c r="V46" s="119" t="n"/>
    </row>
    <row r="47" ht="15" customFormat="1" customHeight="1" s="116">
      <c r="B47" s="117" t="n"/>
      <c r="C47" s="157" t="n"/>
      <c r="D47" s="28" t="n"/>
      <c r="E47" s="29" t="n"/>
      <c r="F47" s="29" t="n"/>
      <c r="G47" s="29" t="n"/>
      <c r="I47" s="156" t="n"/>
      <c r="L47" s="33" t="n"/>
      <c r="M47" s="34" t="n"/>
      <c r="O47" s="34" t="n"/>
      <c r="P47" s="119" t="n"/>
      <c r="Q47" s="34" t="n"/>
      <c r="R47" s="119" t="n"/>
      <c r="T47" s="119" t="n"/>
      <c r="U47" s="34" t="n"/>
      <c r="V47" s="119" t="n"/>
    </row>
    <row r="48" ht="15" customFormat="1" customHeight="1" s="116">
      <c r="B48" s="117" t="n"/>
      <c r="C48" s="157" t="n"/>
      <c r="D48" s="28" t="n"/>
      <c r="E48" s="29" t="n"/>
      <c r="F48" s="29" t="n"/>
      <c r="G48" s="29" t="n"/>
      <c r="I48" s="156" t="n"/>
      <c r="L48" s="33" t="n"/>
      <c r="M48" s="34" t="n"/>
      <c r="O48" s="34" t="n"/>
      <c r="P48" s="119" t="n"/>
      <c r="Q48" s="34" t="n"/>
      <c r="R48" s="119" t="n"/>
      <c r="T48" s="119" t="n"/>
      <c r="U48" s="34" t="n"/>
      <c r="V48" s="119" t="n"/>
    </row>
    <row r="49" ht="15" customFormat="1" customHeight="1" s="116">
      <c r="B49" s="117" t="n"/>
      <c r="C49" s="157" t="n"/>
      <c r="D49" s="28" t="n"/>
      <c r="E49" s="29" t="n"/>
      <c r="F49" s="29" t="n"/>
      <c r="G49" s="29" t="n"/>
      <c r="I49" s="156" t="n"/>
      <c r="L49" s="33" t="n"/>
      <c r="M49" s="34" t="n"/>
      <c r="O49" s="34" t="n"/>
      <c r="P49" s="119" t="n"/>
      <c r="Q49" s="34" t="n"/>
      <c r="R49" s="119" t="n"/>
      <c r="T49" s="119" t="n"/>
      <c r="U49" s="34" t="n"/>
      <c r="V49" s="119" t="n"/>
    </row>
    <row r="50" ht="15" customFormat="1" customHeight="1" s="116">
      <c r="B50" s="117" t="n"/>
      <c r="C50" s="157" t="n"/>
      <c r="D50" s="28" t="n"/>
      <c r="E50" s="29" t="n"/>
      <c r="F50" s="29" t="n"/>
      <c r="G50" s="29" t="n"/>
      <c r="I50" s="156" t="n"/>
      <c r="L50" s="33" t="n"/>
      <c r="M50" s="34" t="n"/>
      <c r="O50" s="34" t="n"/>
      <c r="P50" s="119" t="n"/>
      <c r="Q50" s="34" t="n"/>
      <c r="R50" s="119" t="n"/>
      <c r="T50" s="119" t="n"/>
      <c r="U50" s="34" t="n"/>
      <c r="V50" s="119" t="n"/>
    </row>
    <row r="51" ht="15" customFormat="1" customHeight="1" s="116">
      <c r="B51" s="117" t="n"/>
      <c r="C51" s="157" t="n"/>
      <c r="D51" s="28" t="n"/>
      <c r="E51" s="29" t="n"/>
      <c r="F51" s="29" t="n"/>
      <c r="G51" s="29" t="n"/>
      <c r="I51" s="156" t="n"/>
      <c r="L51" s="33" t="n"/>
      <c r="M51" s="34" t="n"/>
      <c r="O51" s="34" t="n"/>
      <c r="P51" s="119" t="n"/>
      <c r="Q51" s="34" t="n"/>
      <c r="R51" s="119" t="n"/>
      <c r="T51" s="119" t="n"/>
      <c r="U51" s="34" t="n"/>
      <c r="V51" s="119" t="n"/>
    </row>
    <row r="52" ht="15" customFormat="1" customHeight="1" s="116">
      <c r="B52" s="117" t="n"/>
      <c r="C52" s="157" t="n"/>
      <c r="D52" s="28" t="n"/>
      <c r="E52" s="29" t="n"/>
      <c r="F52" s="29" t="n"/>
      <c r="G52" s="29" t="n"/>
      <c r="I52" s="156" t="n"/>
      <c r="L52" s="33" t="n"/>
      <c r="M52" s="34" t="n"/>
      <c r="O52" s="34" t="n"/>
      <c r="P52" s="119" t="n"/>
      <c r="Q52" s="34" t="n"/>
      <c r="R52" s="119" t="n"/>
      <c r="T52" s="119" t="n"/>
      <c r="U52" s="34" t="n"/>
      <c r="V52" s="119" t="n"/>
    </row>
    <row r="53" ht="15" customFormat="1" customHeight="1" s="116">
      <c r="B53" s="117" t="n"/>
      <c r="C53" s="157" t="n"/>
      <c r="D53" s="28" t="n"/>
      <c r="E53" s="29" t="n"/>
      <c r="F53" s="29" t="n"/>
      <c r="G53" s="29" t="n"/>
      <c r="I53" s="156" t="n"/>
      <c r="L53" s="33" t="n"/>
      <c r="M53" s="34" t="n"/>
      <c r="O53" s="34" t="n"/>
      <c r="P53" s="119" t="n"/>
      <c r="Q53" s="34" t="n"/>
      <c r="R53" s="119" t="n"/>
      <c r="T53" s="119" t="n"/>
      <c r="U53" s="34" t="n"/>
      <c r="V53" s="119" t="n"/>
    </row>
    <row r="54" ht="15" customFormat="1" customHeight="1" s="116">
      <c r="B54" s="117" t="n"/>
      <c r="C54" s="157" t="n"/>
      <c r="D54" s="28" t="n"/>
      <c r="E54" s="29" t="n"/>
      <c r="F54" s="29" t="n"/>
      <c r="G54" s="29" t="n"/>
      <c r="I54" s="156" t="n"/>
      <c r="L54" s="33" t="n"/>
      <c r="M54" s="34" t="n"/>
      <c r="O54" s="34" t="n"/>
      <c r="P54" s="119" t="n"/>
      <c r="Q54" s="34" t="n"/>
      <c r="R54" s="119" t="n"/>
      <c r="T54" s="119" t="n"/>
      <c r="U54" s="34" t="n"/>
      <c r="V54" s="119" t="n"/>
    </row>
    <row r="55" ht="15" customFormat="1" customHeight="1" s="116">
      <c r="B55" s="117" t="n"/>
      <c r="C55" s="157" t="n"/>
      <c r="D55" s="28" t="n"/>
      <c r="E55" s="29" t="n"/>
      <c r="F55" s="29" t="n"/>
      <c r="G55" s="29" t="n"/>
      <c r="I55" s="156" t="n"/>
      <c r="L55" s="33" t="n"/>
      <c r="M55" s="34" t="n"/>
      <c r="O55" s="34" t="n"/>
      <c r="P55" s="119" t="n"/>
      <c r="Q55" s="34" t="n"/>
      <c r="R55" s="119" t="n"/>
      <c r="T55" s="119" t="n"/>
      <c r="U55" s="34" t="n"/>
      <c r="V55" s="119" t="n"/>
    </row>
    <row r="56" ht="15" customFormat="1" customHeight="1" s="116">
      <c r="B56" s="117" t="n"/>
      <c r="C56" s="157" t="n"/>
      <c r="D56" s="28" t="n"/>
      <c r="E56" s="29" t="n"/>
      <c r="F56" s="29" t="n"/>
      <c r="G56" s="29" t="n"/>
      <c r="I56" s="156" t="n"/>
      <c r="L56" s="33" t="n"/>
      <c r="M56" s="34" t="n"/>
      <c r="O56" s="34" t="n"/>
      <c r="P56" s="119" t="n"/>
      <c r="Q56" s="34" t="n"/>
      <c r="R56" s="119" t="n"/>
      <c r="T56" s="119" t="n"/>
      <c r="U56" s="34" t="n"/>
      <c r="V56" s="119" t="n"/>
    </row>
    <row r="57" ht="15" customFormat="1" customHeight="1" s="116">
      <c r="B57" s="117" t="n"/>
      <c r="C57" s="157" t="n"/>
      <c r="D57" s="28" t="n"/>
      <c r="E57" s="29" t="n"/>
      <c r="F57" s="29" t="n"/>
      <c r="G57" s="29" t="n"/>
      <c r="I57" s="156" t="n"/>
      <c r="L57" s="33" t="n"/>
      <c r="M57" s="34" t="n"/>
      <c r="O57" s="34" t="n"/>
      <c r="P57" s="119" t="n"/>
      <c r="Q57" s="34" t="n"/>
      <c r="R57" s="119" t="n"/>
      <c r="T57" s="119" t="n"/>
      <c r="U57" s="34" t="n"/>
      <c r="V57" s="119" t="n"/>
    </row>
    <row r="58" ht="15" customFormat="1" customHeight="1" s="116">
      <c r="B58" s="117" t="n"/>
      <c r="C58" s="157" t="n"/>
      <c r="D58" s="28" t="n"/>
      <c r="E58" s="29" t="n"/>
      <c r="F58" s="29" t="n"/>
      <c r="G58" s="29" t="n"/>
      <c r="I58" s="156" t="n"/>
      <c r="L58" s="33" t="n"/>
      <c r="M58" s="34" t="n"/>
      <c r="O58" s="34" t="n"/>
      <c r="P58" s="119" t="n"/>
      <c r="Q58" s="34" t="n"/>
      <c r="R58" s="119" t="n"/>
      <c r="T58" s="119" t="n"/>
      <c r="U58" s="34" t="n"/>
      <c r="V58" s="119" t="n"/>
    </row>
    <row r="59" ht="15" customFormat="1" customHeight="1" s="116">
      <c r="B59" s="117" t="n"/>
      <c r="C59" s="157" t="n"/>
      <c r="D59" s="28" t="n"/>
      <c r="E59" s="29" t="n"/>
      <c r="F59" s="29" t="n"/>
      <c r="G59" s="29" t="n"/>
      <c r="I59" s="156" t="n"/>
      <c r="L59" s="33" t="n"/>
      <c r="M59" s="34" t="n"/>
      <c r="O59" s="34" t="n"/>
      <c r="P59" s="119" t="n"/>
      <c r="Q59" s="34" t="n"/>
      <c r="R59" s="119" t="n"/>
      <c r="T59" s="119" t="n"/>
      <c r="U59" s="34" t="n"/>
      <c r="V59" s="119" t="n"/>
    </row>
    <row r="60" ht="15" customFormat="1" customHeight="1" s="116">
      <c r="B60" s="117" t="n"/>
      <c r="C60" s="157" t="n"/>
      <c r="D60" s="28" t="n"/>
      <c r="E60" s="29" t="n"/>
      <c r="F60" s="29" t="n"/>
      <c r="G60" s="29" t="n"/>
      <c r="I60" s="156" t="n"/>
      <c r="L60" s="33" t="n"/>
      <c r="M60" s="34" t="n"/>
      <c r="O60" s="34" t="n"/>
      <c r="P60" s="119" t="n"/>
      <c r="Q60" s="34" t="n"/>
      <c r="R60" s="119" t="n"/>
      <c r="T60" s="119" t="n"/>
      <c r="U60" s="34" t="n"/>
      <c r="V60" s="119" t="n"/>
    </row>
    <row r="61" ht="15" customFormat="1" customHeight="1" s="116">
      <c r="B61" s="117" t="n"/>
      <c r="C61" s="157" t="n"/>
      <c r="D61" s="28" t="n"/>
      <c r="E61" s="29" t="n"/>
      <c r="F61" s="29" t="n"/>
      <c r="G61" s="29" t="n"/>
      <c r="I61" s="156" t="n"/>
      <c r="L61" s="33" t="n"/>
      <c r="M61" s="34" t="n"/>
      <c r="O61" s="34" t="n"/>
      <c r="P61" s="119" t="n"/>
      <c r="Q61" s="34" t="n"/>
      <c r="R61" s="119" t="n"/>
      <c r="T61" s="119" t="n"/>
      <c r="U61" s="34" t="n"/>
      <c r="V61" s="119" t="n"/>
    </row>
    <row r="62" ht="15" customFormat="1" customHeight="1" s="116">
      <c r="B62" s="117" t="n"/>
      <c r="C62" s="157" t="n"/>
      <c r="D62" s="28" t="n"/>
      <c r="E62" s="29" t="n"/>
      <c r="F62" s="29" t="n"/>
      <c r="G62" s="29" t="n"/>
      <c r="I62" s="156" t="n"/>
      <c r="L62" s="33" t="n"/>
      <c r="M62" s="34" t="n"/>
      <c r="O62" s="34" t="n"/>
      <c r="P62" s="119" t="n"/>
      <c r="Q62" s="34" t="n"/>
      <c r="R62" s="119" t="n"/>
      <c r="T62" s="119" t="n"/>
      <c r="U62" s="34" t="n"/>
      <c r="V62" s="119" t="n"/>
    </row>
    <row r="63" ht="15" customFormat="1" customHeight="1" s="116">
      <c r="B63" s="117" t="n"/>
      <c r="C63" s="157" t="n"/>
      <c r="D63" s="28" t="n"/>
      <c r="E63" s="29" t="n"/>
      <c r="F63" s="29" t="n"/>
      <c r="G63" s="29" t="n"/>
      <c r="I63" s="156" t="n"/>
      <c r="L63" s="33" t="n"/>
      <c r="M63" s="34" t="n"/>
      <c r="O63" s="34" t="n"/>
      <c r="P63" s="119" t="n"/>
      <c r="Q63" s="34" t="n"/>
      <c r="R63" s="119" t="n"/>
      <c r="T63" s="119" t="n"/>
      <c r="U63" s="34" t="n"/>
      <c r="V63" s="119" t="n"/>
    </row>
    <row r="64" ht="15" customFormat="1" customHeight="1" s="116">
      <c r="B64" s="117" t="n"/>
      <c r="C64" s="157" t="n"/>
      <c r="D64" s="28" t="n"/>
      <c r="E64" s="29" t="n"/>
      <c r="F64" s="29" t="n"/>
      <c r="G64" s="29" t="n"/>
      <c r="I64" s="156" t="n"/>
      <c r="L64" s="33" t="n"/>
      <c r="M64" s="34" t="n"/>
      <c r="O64" s="34" t="n"/>
      <c r="P64" s="119" t="n"/>
      <c r="Q64" s="34" t="n"/>
      <c r="R64" s="119" t="n"/>
      <c r="T64" s="119" t="n"/>
      <c r="U64" s="34" t="n"/>
      <c r="V64" s="119" t="n"/>
    </row>
    <row r="65" ht="15" customFormat="1" customHeight="1" s="116">
      <c r="B65" s="117" t="n"/>
      <c r="C65" s="157" t="n"/>
      <c r="D65" s="28" t="n"/>
      <c r="E65" s="29" t="n"/>
      <c r="F65" s="29" t="n"/>
      <c r="G65" s="29" t="n"/>
      <c r="I65" s="156" t="n"/>
      <c r="L65" s="33" t="n"/>
      <c r="M65" s="34" t="n"/>
      <c r="O65" s="34" t="n"/>
      <c r="P65" s="119" t="n"/>
      <c r="Q65" s="34" t="n"/>
      <c r="R65" s="119" t="n"/>
      <c r="T65" s="119" t="n"/>
      <c r="U65" s="34" t="n"/>
      <c r="V65" s="119" t="n"/>
    </row>
    <row r="66" ht="15" customFormat="1" customHeight="1" s="116">
      <c r="B66" s="117" t="n"/>
      <c r="C66" s="157" t="n"/>
      <c r="D66" s="28" t="n"/>
      <c r="E66" s="29" t="n"/>
      <c r="F66" s="29" t="n"/>
      <c r="G66" s="29" t="n"/>
      <c r="I66" s="156" t="n"/>
      <c r="L66" s="33" t="n"/>
      <c r="M66" s="34" t="n"/>
      <c r="O66" s="34" t="n"/>
      <c r="P66" s="119" t="n"/>
      <c r="Q66" s="34" t="n"/>
      <c r="R66" s="119" t="n"/>
      <c r="T66" s="119" t="n"/>
      <c r="U66" s="34" t="n"/>
      <c r="V66" s="119" t="n"/>
    </row>
    <row r="67" ht="15" customFormat="1" customHeight="1" s="116">
      <c r="B67" s="117" t="n"/>
      <c r="C67" s="157" t="n"/>
      <c r="D67" s="28" t="n"/>
      <c r="E67" s="29" t="n"/>
      <c r="F67" s="29" t="n"/>
      <c r="G67" s="29" t="n"/>
      <c r="I67" s="156" t="n"/>
      <c r="L67" s="33" t="n"/>
      <c r="M67" s="34" t="n"/>
      <c r="O67" s="34" t="n"/>
      <c r="P67" s="119" t="n"/>
      <c r="Q67" s="34" t="n"/>
      <c r="R67" s="119" t="n"/>
      <c r="T67" s="119" t="n"/>
      <c r="U67" s="34" t="n"/>
      <c r="V67" s="119" t="n"/>
    </row>
    <row r="68" ht="15" customFormat="1" customHeight="1" s="116">
      <c r="B68" s="117" t="n"/>
      <c r="C68" s="157" t="n"/>
      <c r="D68" s="28" t="n"/>
      <c r="E68" s="29" t="n"/>
      <c r="F68" s="29" t="n"/>
      <c r="G68" s="29" t="n"/>
      <c r="I68" s="156" t="n"/>
      <c r="L68" s="33" t="n"/>
      <c r="M68" s="34" t="n"/>
      <c r="O68" s="34" t="n"/>
      <c r="P68" s="119" t="n"/>
      <c r="Q68" s="34" t="n"/>
      <c r="R68" s="119" t="n"/>
      <c r="T68" s="119" t="n"/>
      <c r="U68" s="34" t="n"/>
      <c r="V68" s="119" t="n"/>
    </row>
    <row r="69" ht="15" customFormat="1" customHeight="1" s="116">
      <c r="B69" s="117" t="n"/>
      <c r="C69" s="157" t="n"/>
      <c r="D69" s="28" t="n"/>
      <c r="E69" s="29" t="n"/>
      <c r="F69" s="29" t="n"/>
      <c r="G69" s="29" t="n"/>
      <c r="I69" s="156" t="n"/>
      <c r="L69" s="33" t="n"/>
      <c r="M69" s="34" t="n"/>
      <c r="O69" s="34" t="n"/>
      <c r="P69" s="119" t="n"/>
      <c r="Q69" s="34" t="n"/>
      <c r="R69" s="119" t="n"/>
      <c r="T69" s="119" t="n"/>
      <c r="U69" s="34" t="n"/>
      <c r="V69" s="119" t="n"/>
    </row>
    <row r="70" ht="15" customFormat="1" customHeight="1" s="116">
      <c r="B70" s="117" t="n"/>
      <c r="C70" s="157" t="n"/>
      <c r="D70" s="28" t="n"/>
      <c r="E70" s="29" t="n"/>
      <c r="F70" s="29" t="n"/>
      <c r="G70" s="29" t="n"/>
      <c r="I70" s="156" t="n"/>
      <c r="L70" s="33" t="n"/>
      <c r="M70" s="34" t="n"/>
      <c r="O70" s="34" t="n"/>
      <c r="P70" s="119" t="n"/>
      <c r="Q70" s="34" t="n"/>
      <c r="R70" s="119" t="n"/>
      <c r="T70" s="119" t="n"/>
      <c r="U70" s="34" t="n"/>
      <c r="V70" s="119" t="n"/>
    </row>
    <row r="71" ht="15" customFormat="1" customHeight="1" s="116">
      <c r="B71" s="117" t="n"/>
      <c r="C71" s="157" t="n"/>
      <c r="D71" s="28" t="n"/>
      <c r="E71" s="29" t="n"/>
      <c r="F71" s="29" t="n"/>
      <c r="G71" s="29" t="n"/>
      <c r="I71" s="156" t="n"/>
      <c r="L71" s="33" t="n"/>
      <c r="M71" s="34" t="n"/>
      <c r="O71" s="34" t="n"/>
      <c r="P71" s="119" t="n"/>
      <c r="Q71" s="34" t="n"/>
      <c r="R71" s="119" t="n"/>
      <c r="T71" s="119" t="n"/>
      <c r="U71" s="34" t="n"/>
      <c r="V71" s="119" t="n"/>
    </row>
    <row r="72" ht="15" customFormat="1" customHeight="1" s="116">
      <c r="B72" s="117" t="n"/>
      <c r="C72" s="157" t="n"/>
      <c r="D72" s="28" t="n"/>
      <c r="E72" s="29" t="n"/>
      <c r="F72" s="29" t="n"/>
      <c r="G72" s="29" t="n"/>
      <c r="I72" s="156" t="n"/>
      <c r="L72" s="33" t="n"/>
      <c r="M72" s="34" t="n"/>
      <c r="O72" s="34" t="n"/>
      <c r="P72" s="119" t="n"/>
      <c r="Q72" s="34" t="n"/>
      <c r="R72" s="119" t="n"/>
      <c r="T72" s="119" t="n"/>
      <c r="U72" s="34" t="n"/>
      <c r="V72" s="119" t="n"/>
    </row>
    <row r="73" ht="15" customFormat="1" customHeight="1" s="116">
      <c r="B73" s="117" t="n"/>
      <c r="C73" s="157" t="n"/>
      <c r="D73" s="28" t="n"/>
      <c r="E73" s="29" t="n"/>
      <c r="F73" s="29" t="n"/>
      <c r="G73" s="29" t="n"/>
      <c r="I73" s="156" t="n"/>
      <c r="L73" s="33" t="n"/>
      <c r="M73" s="34" t="n"/>
      <c r="O73" s="34" t="n"/>
      <c r="P73" s="119" t="n"/>
      <c r="Q73" s="34" t="n"/>
      <c r="R73" s="119" t="n"/>
      <c r="T73" s="119" t="n"/>
      <c r="U73" s="34" t="n"/>
      <c r="V73" s="119" t="n"/>
    </row>
    <row r="74" ht="15" customFormat="1" customHeight="1" s="116">
      <c r="B74" s="117" t="n"/>
      <c r="C74" s="157" t="n"/>
      <c r="D74" s="28" t="n"/>
      <c r="E74" s="29" t="n"/>
      <c r="F74" s="29" t="n"/>
      <c r="G74" s="29" t="n"/>
      <c r="I74" s="156" t="n"/>
      <c r="L74" s="33" t="n"/>
      <c r="M74" s="34" t="n"/>
      <c r="O74" s="34" t="n"/>
      <c r="P74" s="119" t="n"/>
      <c r="Q74" s="34" t="n"/>
      <c r="R74" s="119" t="n"/>
      <c r="T74" s="119" t="n"/>
      <c r="U74" s="34" t="n"/>
      <c r="V74" s="119" t="n"/>
    </row>
    <row r="75" ht="15" customFormat="1" customHeight="1" s="116">
      <c r="B75" s="117" t="n"/>
      <c r="C75" s="157" t="n"/>
      <c r="D75" s="28" t="n"/>
      <c r="E75" s="29" t="n"/>
      <c r="F75" s="29" t="n"/>
      <c r="G75" s="29" t="n"/>
      <c r="I75" s="156" t="n"/>
      <c r="L75" s="33" t="n"/>
      <c r="M75" s="34" t="n"/>
      <c r="O75" s="34" t="n"/>
      <c r="P75" s="119" t="n"/>
      <c r="Q75" s="34" t="n"/>
      <c r="R75" s="119" t="n"/>
      <c r="T75" s="119" t="n"/>
      <c r="U75" s="34" t="n"/>
      <c r="V75" s="119" t="n"/>
    </row>
    <row r="76" ht="15" customFormat="1" customHeight="1" s="116">
      <c r="B76" s="117" t="n"/>
      <c r="C76" s="157" t="n"/>
      <c r="D76" s="28" t="n"/>
      <c r="E76" s="29" t="n"/>
      <c r="F76" s="29" t="n"/>
      <c r="G76" s="29" t="n"/>
      <c r="I76" s="156" t="n"/>
      <c r="L76" s="33" t="n"/>
      <c r="M76" s="34" t="n"/>
      <c r="O76" s="34" t="n"/>
      <c r="P76" s="119" t="n"/>
      <c r="Q76" s="34" t="n"/>
      <c r="R76" s="119" t="n"/>
      <c r="T76" s="119" t="n"/>
      <c r="U76" s="34" t="n"/>
      <c r="V76" s="119" t="n"/>
    </row>
    <row r="77" ht="15" customFormat="1" customHeight="1" s="116">
      <c r="B77" s="117" t="n"/>
      <c r="C77" s="157" t="n"/>
      <c r="D77" s="28" t="n"/>
      <c r="E77" s="29" t="n"/>
      <c r="F77" s="29" t="n"/>
      <c r="G77" s="29" t="n"/>
      <c r="I77" s="156" t="n"/>
      <c r="L77" s="33" t="n"/>
      <c r="M77" s="34" t="n"/>
      <c r="O77" s="34" t="n"/>
      <c r="P77" s="119" t="n"/>
      <c r="Q77" s="34" t="n"/>
      <c r="R77" s="119" t="n"/>
      <c r="T77" s="119" t="n"/>
      <c r="U77" s="34" t="n"/>
      <c r="V77" s="119" t="n"/>
    </row>
    <row r="78" ht="15" customFormat="1" customHeight="1" s="116">
      <c r="B78" s="117" t="n"/>
      <c r="C78" s="157" t="n"/>
      <c r="D78" s="28" t="n"/>
      <c r="E78" s="29" t="n"/>
      <c r="F78" s="29" t="n"/>
      <c r="G78" s="29" t="n"/>
      <c r="I78" s="156" t="n"/>
      <c r="L78" s="33" t="n"/>
      <c r="M78" s="34" t="n"/>
      <c r="O78" s="34" t="n"/>
      <c r="P78" s="119" t="n"/>
      <c r="Q78" s="34" t="n"/>
      <c r="R78" s="119" t="n"/>
      <c r="T78" s="119" t="n"/>
      <c r="U78" s="34" t="n"/>
      <c r="V78" s="119" t="n"/>
    </row>
    <row r="79" ht="15" customFormat="1" customHeight="1" s="116">
      <c r="B79" s="117" t="n"/>
      <c r="C79" s="157" t="n"/>
      <c r="D79" s="28" t="n"/>
      <c r="E79" s="29" t="n"/>
      <c r="F79" s="29" t="n"/>
      <c r="G79" s="29" t="n"/>
      <c r="I79" s="156" t="n"/>
      <c r="L79" s="33" t="n"/>
      <c r="M79" s="34" t="n"/>
      <c r="O79" s="34" t="n"/>
      <c r="P79" s="119" t="n"/>
      <c r="Q79" s="34" t="n"/>
      <c r="R79" s="119" t="n"/>
      <c r="T79" s="119" t="n"/>
      <c r="U79" s="34" t="n"/>
      <c r="V79" s="119" t="n"/>
    </row>
    <row r="80" ht="15" customFormat="1" customHeight="1" s="116">
      <c r="B80" s="117" t="n"/>
      <c r="C80" s="157" t="n"/>
      <c r="D80" s="28" t="n"/>
      <c r="E80" s="29" t="n"/>
      <c r="F80" s="29" t="n"/>
      <c r="G80" s="29" t="n"/>
      <c r="I80" s="156" t="n"/>
      <c r="L80" s="33" t="n"/>
      <c r="M80" s="34" t="n"/>
      <c r="O80" s="34" t="n"/>
      <c r="P80" s="119" t="n"/>
      <c r="Q80" s="34" t="n"/>
      <c r="R80" s="119" t="n"/>
      <c r="T80" s="119" t="n"/>
      <c r="U80" s="34" t="n"/>
      <c r="V80" s="119" t="n"/>
    </row>
    <row r="81" ht="15" customFormat="1" customHeight="1" s="116">
      <c r="B81" s="117" t="n"/>
      <c r="C81" s="157" t="n"/>
      <c r="D81" s="28" t="n"/>
      <c r="E81" s="29" t="n"/>
      <c r="F81" s="29" t="n"/>
      <c r="G81" s="29" t="n"/>
      <c r="I81" s="156" t="n"/>
      <c r="L81" s="33" t="n"/>
      <c r="M81" s="34" t="n"/>
      <c r="O81" s="34" t="n"/>
      <c r="P81" s="119" t="n"/>
      <c r="Q81" s="34" t="n"/>
      <c r="R81" s="119" t="n"/>
      <c r="T81" s="119" t="n"/>
      <c r="U81" s="34" t="n"/>
      <c r="V81" s="119" t="n"/>
    </row>
    <row r="82" ht="15" customFormat="1" customHeight="1" s="116">
      <c r="B82" s="117" t="n"/>
      <c r="C82" s="157" t="n"/>
      <c r="D82" s="28" t="n"/>
      <c r="E82" s="29" t="n"/>
      <c r="F82" s="29" t="n"/>
      <c r="G82" s="29" t="n"/>
      <c r="I82" s="156" t="n"/>
      <c r="L82" s="33" t="n"/>
      <c r="M82" s="34" t="n"/>
      <c r="O82" s="34" t="n"/>
      <c r="P82" s="119" t="n"/>
      <c r="Q82" s="34" t="n"/>
      <c r="R82" s="119" t="n"/>
      <c r="T82" s="119" t="n"/>
      <c r="U82" s="34" t="n"/>
      <c r="V82" s="119" t="n"/>
    </row>
    <row r="83" ht="15" customFormat="1" customHeight="1" s="116">
      <c r="B83" s="117" t="n"/>
      <c r="C83" s="157" t="n"/>
      <c r="D83" s="28" t="n"/>
      <c r="E83" s="29" t="n"/>
      <c r="F83" s="29" t="n"/>
      <c r="G83" s="29" t="n"/>
      <c r="I83" s="156" t="n"/>
      <c r="L83" s="33" t="n"/>
      <c r="M83" s="34" t="n"/>
      <c r="O83" s="34" t="n"/>
      <c r="P83" s="119" t="n"/>
      <c r="Q83" s="34" t="n"/>
      <c r="R83" s="119" t="n"/>
      <c r="T83" s="119" t="n"/>
      <c r="U83" s="34" t="n"/>
      <c r="V83" s="119" t="n"/>
    </row>
    <row r="84" ht="15" customFormat="1" customHeight="1" s="116">
      <c r="B84" s="117" t="n"/>
      <c r="C84" s="157" t="n"/>
      <c r="D84" s="28" t="n"/>
      <c r="E84" s="29" t="n"/>
      <c r="F84" s="29" t="n"/>
      <c r="G84" s="29" t="n"/>
      <c r="I84" s="156" t="n"/>
      <c r="L84" s="33" t="n"/>
      <c r="M84" s="34" t="n"/>
      <c r="O84" s="34" t="n"/>
      <c r="P84" s="119" t="n"/>
      <c r="Q84" s="34" t="n"/>
      <c r="R84" s="119" t="n"/>
      <c r="T84" s="119" t="n"/>
      <c r="U84" s="34" t="n"/>
      <c r="V84" s="119" t="n"/>
    </row>
    <row r="85" ht="15" customFormat="1" customHeight="1" s="116">
      <c r="B85" s="117" t="n"/>
      <c r="C85" s="157" t="n"/>
      <c r="D85" s="28" t="n"/>
      <c r="E85" s="29" t="n"/>
      <c r="F85" s="29" t="n"/>
      <c r="G85" s="29" t="n"/>
      <c r="I85" s="156" t="n"/>
      <c r="L85" s="33" t="n"/>
      <c r="M85" s="34" t="n"/>
      <c r="O85" s="34" t="n"/>
      <c r="P85" s="119" t="n"/>
      <c r="Q85" s="34" t="n"/>
      <c r="R85" s="119" t="n"/>
      <c r="T85" s="119" t="n"/>
      <c r="U85" s="34" t="n"/>
      <c r="V85" s="119" t="n"/>
    </row>
    <row r="86" ht="15" customFormat="1" customHeight="1" s="116">
      <c r="B86" s="117" t="n"/>
      <c r="C86" s="157" t="n"/>
      <c r="D86" s="28" t="n"/>
      <c r="E86" s="29" t="n"/>
      <c r="F86" s="29" t="n"/>
      <c r="G86" s="29" t="n"/>
      <c r="I86" s="156" t="n"/>
      <c r="L86" s="33" t="n"/>
      <c r="M86" s="34" t="n"/>
      <c r="O86" s="34" t="n"/>
      <c r="P86" s="119" t="n"/>
      <c r="Q86" s="34" t="n"/>
      <c r="R86" s="119" t="n"/>
      <c r="T86" s="119" t="n"/>
      <c r="U86" s="34" t="n"/>
      <c r="V86" s="119" t="n"/>
    </row>
    <row r="87" ht="15" customFormat="1" customHeight="1" s="116">
      <c r="B87" s="117" t="n"/>
      <c r="C87" s="157" t="n"/>
      <c r="D87" s="28" t="n"/>
      <c r="E87" s="29" t="n"/>
      <c r="F87" s="29" t="n"/>
      <c r="G87" s="29" t="n"/>
      <c r="I87" s="156" t="n"/>
      <c r="L87" s="33" t="n"/>
      <c r="M87" s="34" t="n"/>
      <c r="O87" s="34" t="n"/>
      <c r="P87" s="119" t="n"/>
      <c r="Q87" s="34" t="n"/>
      <c r="R87" s="119" t="n"/>
      <c r="T87" s="119" t="n"/>
      <c r="U87" s="34" t="n"/>
      <c r="V87" s="119" t="n"/>
    </row>
    <row r="88" ht="15" customFormat="1" customHeight="1" s="116">
      <c r="B88" s="117" t="n"/>
      <c r="C88" s="157" t="n"/>
      <c r="D88" s="28" t="n"/>
      <c r="E88" s="29" t="n"/>
      <c r="F88" s="29" t="n"/>
      <c r="G88" s="29" t="n"/>
      <c r="I88" s="156" t="n"/>
      <c r="L88" s="33" t="n"/>
      <c r="M88" s="34" t="n"/>
      <c r="O88" s="34" t="n"/>
      <c r="P88" s="119" t="n"/>
      <c r="Q88" s="34" t="n"/>
      <c r="R88" s="119" t="n"/>
      <c r="T88" s="119" t="n"/>
      <c r="U88" s="34" t="n"/>
      <c r="V88" s="119" t="n"/>
    </row>
    <row r="89" ht="15" customFormat="1" customHeight="1" s="116">
      <c r="B89" s="117" t="n"/>
      <c r="C89" s="157" t="n"/>
      <c r="D89" s="28" t="n"/>
      <c r="E89" s="29" t="n"/>
      <c r="F89" s="29" t="n"/>
      <c r="G89" s="29" t="n"/>
      <c r="I89" s="156" t="n"/>
      <c r="L89" s="33" t="n"/>
      <c r="M89" s="34" t="n"/>
      <c r="O89" s="34" t="n"/>
      <c r="P89" s="119" t="n"/>
      <c r="Q89" s="34" t="n"/>
      <c r="R89" s="119" t="n"/>
      <c r="T89" s="119" t="n"/>
      <c r="U89" s="34" t="n"/>
      <c r="V89" s="119" t="n"/>
    </row>
    <row r="90" ht="15" customFormat="1" customHeight="1" s="116">
      <c r="B90" s="117" t="n"/>
      <c r="C90" s="157" t="n"/>
      <c r="D90" s="28" t="n"/>
      <c r="E90" s="29" t="n"/>
      <c r="F90" s="29" t="n"/>
      <c r="G90" s="29" t="n"/>
      <c r="I90" s="156" t="n"/>
      <c r="L90" s="33" t="n"/>
      <c r="M90" s="34" t="n"/>
      <c r="O90" s="34" t="n"/>
      <c r="P90" s="119" t="n"/>
      <c r="Q90" s="34" t="n"/>
      <c r="R90" s="119" t="n"/>
      <c r="T90" s="119" t="n"/>
      <c r="U90" s="34" t="n"/>
      <c r="V90" s="119" t="n"/>
    </row>
    <row r="91" ht="15" customFormat="1" customHeight="1" s="116">
      <c r="B91" s="117" t="n"/>
      <c r="C91" s="157" t="n"/>
      <c r="D91" s="28" t="n"/>
      <c r="E91" s="29" t="n"/>
      <c r="F91" s="29" t="n"/>
      <c r="G91" s="29" t="n"/>
      <c r="I91" s="156" t="n"/>
      <c r="L91" s="33" t="n"/>
      <c r="M91" s="34" t="n"/>
      <c r="O91" s="34" t="n"/>
      <c r="P91" s="119" t="n"/>
      <c r="Q91" s="34" t="n"/>
      <c r="R91" s="119" t="n"/>
      <c r="T91" s="119" t="n"/>
      <c r="U91" s="34" t="n"/>
      <c r="V91" s="119" t="n"/>
    </row>
    <row r="92" ht="15" customFormat="1" customHeight="1" s="116">
      <c r="B92" s="117" t="n"/>
      <c r="C92" s="157" t="n"/>
      <c r="D92" s="28" t="n"/>
      <c r="E92" s="29" t="n"/>
      <c r="F92" s="29" t="n"/>
      <c r="G92" s="29" t="n"/>
      <c r="I92" s="156" t="n"/>
      <c r="L92" s="33" t="n"/>
      <c r="M92" s="34" t="n"/>
      <c r="O92" s="34" t="n"/>
      <c r="P92" s="119" t="n"/>
      <c r="Q92" s="34" t="n"/>
      <c r="R92" s="119" t="n"/>
      <c r="T92" s="119" t="n"/>
      <c r="U92" s="34" t="n"/>
      <c r="V92" s="119" t="n"/>
    </row>
    <row r="93" ht="15" customFormat="1" customHeight="1" s="116">
      <c r="B93" s="117" t="n"/>
      <c r="C93" s="157" t="n"/>
      <c r="D93" s="28" t="n"/>
      <c r="E93" s="29" t="n"/>
      <c r="F93" s="29" t="n"/>
      <c r="G93" s="29" t="n"/>
      <c r="I93" s="156" t="n"/>
      <c r="L93" s="33" t="n"/>
      <c r="M93" s="34" t="n"/>
      <c r="O93" s="34" t="n"/>
      <c r="P93" s="119" t="n"/>
      <c r="Q93" s="34" t="n"/>
      <c r="R93" s="119" t="n"/>
      <c r="T93" s="119" t="n"/>
      <c r="U93" s="34" t="n"/>
      <c r="V93" s="119" t="n"/>
    </row>
    <row r="94" ht="15" customFormat="1" customHeight="1" s="116">
      <c r="B94" s="117" t="n"/>
      <c r="C94" s="157" t="n"/>
      <c r="D94" s="28" t="n"/>
      <c r="E94" s="29" t="n"/>
      <c r="F94" s="29" t="n"/>
      <c r="G94" s="29" t="n"/>
      <c r="I94" s="156" t="n"/>
      <c r="L94" s="33" t="n"/>
      <c r="M94" s="34" t="n"/>
      <c r="O94" s="34" t="n"/>
      <c r="P94" s="119" t="n"/>
      <c r="Q94" s="34" t="n"/>
      <c r="R94" s="119" t="n"/>
      <c r="T94" s="119" t="n"/>
      <c r="U94" s="34" t="n"/>
      <c r="V94" s="119" t="n"/>
    </row>
    <row r="95" ht="15" customFormat="1" customHeight="1" s="116">
      <c r="B95" s="117" t="n"/>
      <c r="C95" s="157" t="n"/>
      <c r="D95" s="28" t="n"/>
      <c r="E95" s="29" t="n"/>
      <c r="F95" s="29" t="n"/>
      <c r="G95" s="29" t="n"/>
      <c r="I95" s="156" t="n"/>
      <c r="L95" s="33" t="n"/>
      <c r="M95" s="34" t="n"/>
      <c r="O95" s="34" t="n"/>
      <c r="P95" s="119" t="n"/>
      <c r="Q95" s="34" t="n"/>
      <c r="R95" s="119" t="n"/>
      <c r="T95" s="119" t="n"/>
      <c r="U95" s="34" t="n"/>
      <c r="V95" s="119" t="n"/>
    </row>
    <row r="96" ht="15" customFormat="1" customHeight="1" s="116">
      <c r="B96" s="117" t="n"/>
      <c r="C96" s="157" t="n"/>
      <c r="D96" s="28" t="n"/>
      <c r="E96" s="29" t="n"/>
      <c r="F96" s="29" t="n"/>
      <c r="G96" s="29" t="n"/>
      <c r="I96" s="156" t="n"/>
      <c r="L96" s="33" t="n"/>
      <c r="M96" s="34" t="n"/>
      <c r="O96" s="34" t="n"/>
      <c r="P96" s="119" t="n"/>
      <c r="Q96" s="34" t="n"/>
      <c r="R96" s="119" t="n"/>
      <c r="T96" s="119" t="n"/>
      <c r="U96" s="34" t="n"/>
      <c r="V96" s="119" t="n"/>
    </row>
    <row r="97" ht="15" customFormat="1" customHeight="1" s="116">
      <c r="B97" s="117" t="n"/>
      <c r="C97" s="157" t="n"/>
      <c r="D97" s="28" t="n"/>
      <c r="E97" s="29" t="n"/>
      <c r="F97" s="29" t="n"/>
      <c r="G97" s="29" t="n"/>
      <c r="I97" s="156" t="n"/>
      <c r="L97" s="33" t="n"/>
      <c r="M97" s="34" t="n"/>
      <c r="O97" s="34" t="n"/>
      <c r="P97" s="119" t="n"/>
      <c r="Q97" s="34" t="n"/>
      <c r="R97" s="119" t="n"/>
      <c r="T97" s="119" t="n"/>
      <c r="U97" s="34" t="n"/>
      <c r="V97" s="119" t="n"/>
    </row>
    <row r="98" ht="15" customFormat="1" customHeight="1" s="116">
      <c r="B98" s="117" t="n"/>
      <c r="C98" s="157" t="n"/>
      <c r="D98" s="28" t="n"/>
      <c r="E98" s="29" t="n"/>
      <c r="F98" s="29" t="n"/>
      <c r="G98" s="29" t="n"/>
      <c r="I98" s="156" t="n"/>
      <c r="L98" s="33" t="n"/>
      <c r="M98" s="34" t="n"/>
      <c r="O98" s="34" t="n"/>
      <c r="P98" s="119" t="n"/>
      <c r="Q98" s="34" t="n"/>
      <c r="R98" s="119" t="n"/>
      <c r="T98" s="119" t="n"/>
      <c r="U98" s="34" t="n"/>
      <c r="V98" s="119" t="n"/>
    </row>
    <row r="99" ht="15" customFormat="1" customHeight="1" s="116">
      <c r="B99" s="117" t="n"/>
      <c r="C99" s="157" t="n"/>
      <c r="D99" s="28" t="n"/>
      <c r="E99" s="29" t="n"/>
      <c r="F99" s="29" t="n"/>
      <c r="G99" s="29" t="n"/>
      <c r="I99" s="156" t="n"/>
      <c r="L99" s="33" t="n"/>
      <c r="M99" s="34" t="n"/>
      <c r="O99" s="34" t="n"/>
      <c r="P99" s="119" t="n"/>
      <c r="Q99" s="34" t="n"/>
      <c r="R99" s="119" t="n"/>
      <c r="T99" s="119" t="n"/>
      <c r="U99" s="34" t="n"/>
      <c r="V99" s="119" t="n"/>
    </row>
    <row r="100" ht="15" customFormat="1" customHeight="1" s="116">
      <c r="B100" s="117" t="n"/>
      <c r="C100" s="157" t="n"/>
      <c r="D100" s="28" t="n"/>
      <c r="E100" s="29" t="n"/>
      <c r="F100" s="29" t="n"/>
      <c r="G100" s="29" t="n"/>
      <c r="I100" s="156" t="n"/>
      <c r="L100" s="33" t="n"/>
      <c r="M100" s="34" t="n"/>
      <c r="O100" s="34" t="n"/>
      <c r="P100" s="119" t="n"/>
      <c r="Q100" s="34" t="n"/>
      <c r="R100" s="119" t="n"/>
      <c r="T100" s="119" t="n"/>
      <c r="U100" s="34" t="n"/>
      <c r="V100" s="119" t="n"/>
    </row>
    <row r="101" ht="15" customFormat="1" customHeight="1" s="116">
      <c r="B101" s="117" t="n"/>
      <c r="C101" s="157" t="n"/>
      <c r="D101" s="28" t="n"/>
      <c r="E101" s="29" t="n"/>
      <c r="F101" s="29" t="n"/>
      <c r="G101" s="29" t="n"/>
      <c r="I101" s="156" t="n"/>
      <c r="L101" s="33" t="n"/>
      <c r="M101" s="34" t="n"/>
      <c r="O101" s="34" t="n"/>
      <c r="P101" s="119" t="n"/>
      <c r="Q101" s="34" t="n"/>
      <c r="R101" s="119" t="n"/>
      <c r="T101" s="119" t="n"/>
      <c r="U101" s="34" t="n"/>
      <c r="V101" s="119" t="n"/>
    </row>
    <row r="102" ht="15" customFormat="1" customHeight="1" s="116">
      <c r="B102" s="117" t="n"/>
      <c r="C102" s="157" t="n"/>
      <c r="D102" s="28" t="n"/>
      <c r="E102" s="29" t="n"/>
      <c r="F102" s="29" t="n"/>
      <c r="G102" s="29" t="n"/>
      <c r="I102" s="156" t="n"/>
      <c r="L102" s="33" t="n"/>
      <c r="M102" s="34" t="n"/>
      <c r="O102" s="34" t="n"/>
      <c r="P102" s="119" t="n"/>
      <c r="Q102" s="34" t="n"/>
      <c r="R102" s="119" t="n"/>
      <c r="T102" s="119" t="n"/>
      <c r="U102" s="34" t="n"/>
      <c r="V102" s="119" t="n"/>
    </row>
    <row r="103" ht="15" customFormat="1" customHeight="1" s="116">
      <c r="B103" s="117" t="n"/>
      <c r="C103" s="157" t="n"/>
      <c r="D103" s="28" t="n"/>
      <c r="E103" s="29" t="n"/>
      <c r="F103" s="29" t="n"/>
      <c r="G103" s="29" t="n"/>
      <c r="I103" s="156" t="n"/>
      <c r="L103" s="33" t="n"/>
      <c r="M103" s="34" t="n"/>
      <c r="O103" s="34" t="n"/>
      <c r="P103" s="119" t="n"/>
      <c r="Q103" s="34" t="n"/>
      <c r="R103" s="119" t="n"/>
      <c r="T103" s="119" t="n"/>
      <c r="U103" s="34" t="n"/>
      <c r="V103" s="119" t="n"/>
    </row>
    <row r="104" ht="15" customFormat="1" customHeight="1" s="116">
      <c r="B104" s="117" t="n"/>
      <c r="C104" s="157" t="n"/>
      <c r="D104" s="28" t="n"/>
      <c r="E104" s="29" t="n"/>
      <c r="F104" s="29" t="n"/>
      <c r="G104" s="29" t="n"/>
      <c r="I104" s="156" t="n"/>
      <c r="L104" s="33" t="n"/>
      <c r="M104" s="34" t="n"/>
      <c r="O104" s="34" t="n"/>
      <c r="P104" s="119" t="n"/>
      <c r="Q104" s="34" t="n"/>
      <c r="R104" s="119" t="n"/>
      <c r="T104" s="119" t="n"/>
      <c r="U104" s="34" t="n"/>
      <c r="V104" s="119" t="n"/>
    </row>
    <row r="105" ht="15" customFormat="1" customHeight="1" s="116">
      <c r="B105" s="117" t="n"/>
      <c r="C105" s="157" t="n"/>
      <c r="D105" s="28" t="n"/>
      <c r="E105" s="29" t="n"/>
      <c r="F105" s="29" t="n"/>
      <c r="G105" s="29" t="n"/>
      <c r="I105" s="156" t="n"/>
      <c r="L105" s="33" t="n"/>
      <c r="M105" s="34" t="n"/>
      <c r="O105" s="34" t="n"/>
      <c r="P105" s="119" t="n"/>
      <c r="Q105" s="34" t="n"/>
      <c r="R105" s="119" t="n"/>
      <c r="T105" s="119" t="n"/>
      <c r="U105" s="34" t="n"/>
      <c r="V105" s="119" t="n"/>
    </row>
    <row r="106" ht="15" customFormat="1" customHeight="1" s="116">
      <c r="B106" s="117" t="n"/>
      <c r="C106" s="157" t="n"/>
      <c r="D106" s="28" t="n"/>
      <c r="E106" s="29" t="n"/>
      <c r="F106" s="29" t="n"/>
      <c r="G106" s="29" t="n"/>
      <c r="I106" s="156" t="n"/>
      <c r="L106" s="33" t="n"/>
      <c r="M106" s="34" t="n"/>
      <c r="O106" s="34" t="n"/>
      <c r="P106" s="119" t="n"/>
      <c r="Q106" s="34" t="n"/>
      <c r="R106" s="119" t="n"/>
      <c r="T106" s="119" t="n"/>
      <c r="U106" s="34" t="n"/>
      <c r="V106" s="119" t="n"/>
    </row>
    <row r="107" ht="15" customFormat="1" customHeight="1" s="116">
      <c r="B107" s="117" t="n"/>
      <c r="C107" s="157" t="n"/>
      <c r="D107" s="28" t="n"/>
      <c r="E107" s="29" t="n"/>
      <c r="F107" s="29" t="n"/>
      <c r="G107" s="29" t="n"/>
      <c r="I107" s="156" t="n"/>
      <c r="L107" s="33" t="n"/>
      <c r="M107" s="34" t="n"/>
      <c r="O107" s="34" t="n"/>
      <c r="P107" s="119" t="n"/>
      <c r="Q107" s="34" t="n"/>
      <c r="R107" s="119" t="n"/>
      <c r="T107" s="119" t="n"/>
      <c r="U107" s="34" t="n"/>
      <c r="V107" s="119" t="n"/>
    </row>
    <row r="108" ht="15" customFormat="1" customHeight="1" s="116">
      <c r="B108" s="117" t="n"/>
      <c r="C108" s="157" t="n"/>
      <c r="D108" s="28" t="n"/>
      <c r="E108" s="29" t="n"/>
      <c r="F108" s="29" t="n"/>
      <c r="G108" s="29" t="n"/>
      <c r="I108" s="156" t="n"/>
      <c r="L108" s="33" t="n"/>
      <c r="M108" s="34" t="n"/>
      <c r="O108" s="34" t="n"/>
      <c r="P108" s="119" t="n"/>
      <c r="Q108" s="34" t="n"/>
      <c r="R108" s="119" t="n"/>
      <c r="T108" s="119" t="n"/>
      <c r="U108" s="34" t="n"/>
      <c r="V108" s="119" t="n"/>
    </row>
    <row r="109" ht="15" customFormat="1" customHeight="1" s="116">
      <c r="B109" s="117" t="n"/>
      <c r="C109" s="157" t="n"/>
      <c r="D109" s="28" t="n"/>
      <c r="E109" s="29" t="n"/>
      <c r="F109" s="29" t="n"/>
      <c r="G109" s="29" t="n"/>
      <c r="I109" s="156" t="n"/>
      <c r="L109" s="33" t="n"/>
      <c r="M109" s="34" t="n"/>
      <c r="O109" s="34" t="n"/>
      <c r="P109" s="119" t="n"/>
      <c r="Q109" s="34" t="n"/>
      <c r="R109" s="119" t="n"/>
      <c r="T109" s="119" t="n"/>
      <c r="U109" s="34" t="n"/>
      <c r="V109" s="119" t="n"/>
    </row>
    <row r="110" ht="15" customFormat="1" customHeight="1" s="116">
      <c r="B110" s="117" t="n"/>
      <c r="C110" s="157" t="n"/>
      <c r="D110" s="28" t="n"/>
      <c r="E110" s="29" t="n"/>
      <c r="F110" s="29" t="n"/>
      <c r="G110" s="29" t="n"/>
      <c r="I110" s="156" t="n"/>
      <c r="L110" s="33" t="n"/>
      <c r="M110" s="34" t="n"/>
      <c r="O110" s="34" t="n"/>
      <c r="P110" s="119" t="n"/>
      <c r="Q110" s="34" t="n"/>
      <c r="R110" s="119" t="n"/>
      <c r="T110" s="119" t="n"/>
      <c r="U110" s="34" t="n"/>
      <c r="V110" s="119" t="n"/>
    </row>
    <row r="111" ht="15" customFormat="1" customHeight="1" s="116">
      <c r="B111" s="117" t="n"/>
      <c r="C111" s="157" t="n"/>
      <c r="D111" s="28" t="n"/>
      <c r="E111" s="29" t="n"/>
      <c r="F111" s="29" t="n"/>
      <c r="G111" s="29" t="n"/>
      <c r="I111" s="156" t="n"/>
      <c r="L111" s="33" t="n"/>
      <c r="M111" s="34" t="n"/>
      <c r="O111" s="34" t="n"/>
      <c r="P111" s="119" t="n"/>
      <c r="Q111" s="34" t="n"/>
      <c r="R111" s="119" t="n"/>
      <c r="T111" s="119" t="n"/>
      <c r="U111" s="34" t="n"/>
      <c r="V111" s="119" t="n"/>
    </row>
    <row r="112" ht="15" customFormat="1" customHeight="1" s="116">
      <c r="B112" s="117" t="n"/>
      <c r="C112" s="157" t="n"/>
      <c r="D112" s="28" t="n"/>
      <c r="E112" s="29" t="n"/>
      <c r="F112" s="29" t="n"/>
      <c r="G112" s="29" t="n"/>
      <c r="I112" s="156" t="n"/>
      <c r="L112" s="33" t="n"/>
      <c r="M112" s="34" t="n"/>
      <c r="O112" s="34" t="n"/>
      <c r="P112" s="119" t="n"/>
      <c r="Q112" s="34" t="n"/>
      <c r="R112" s="119" t="n"/>
      <c r="T112" s="119" t="n"/>
      <c r="U112" s="34" t="n"/>
      <c r="V112" s="119" t="n"/>
    </row>
    <row r="113" ht="15" customFormat="1" customHeight="1" s="116">
      <c r="B113" s="117" t="n"/>
      <c r="C113" s="157" t="n"/>
      <c r="D113" s="28" t="n"/>
      <c r="E113" s="29" t="n"/>
      <c r="F113" s="29" t="n"/>
      <c r="G113" s="29" t="n"/>
      <c r="I113" s="156" t="n"/>
      <c r="L113" s="33" t="n"/>
      <c r="M113" s="34" t="n"/>
      <c r="O113" s="34" t="n"/>
      <c r="P113" s="119" t="n"/>
      <c r="Q113" s="34" t="n"/>
      <c r="R113" s="119" t="n"/>
      <c r="T113" s="119" t="n"/>
      <c r="U113" s="34" t="n"/>
      <c r="V113" s="119" t="n"/>
    </row>
    <row r="114" ht="15" customFormat="1" customHeight="1" s="116">
      <c r="B114" s="117" t="n"/>
      <c r="C114" s="157" t="n"/>
      <c r="D114" s="28" t="n"/>
      <c r="E114" s="29" t="n"/>
      <c r="F114" s="29" t="n"/>
      <c r="G114" s="29" t="n"/>
      <c r="I114" s="156" t="n"/>
      <c r="L114" s="33" t="n"/>
      <c r="M114" s="34" t="n"/>
      <c r="O114" s="34" t="n"/>
      <c r="P114" s="119" t="n"/>
      <c r="Q114" s="34" t="n"/>
      <c r="R114" s="119" t="n"/>
      <c r="T114" s="119" t="n"/>
      <c r="U114" s="34" t="n"/>
      <c r="V114" s="119" t="n"/>
    </row>
    <row r="115" ht="15" customFormat="1" customHeight="1" s="116">
      <c r="B115" s="117" t="n"/>
      <c r="C115" s="157" t="n"/>
      <c r="D115" s="28" t="n"/>
      <c r="E115" s="29" t="n"/>
      <c r="F115" s="29" t="n"/>
      <c r="G115" s="29" t="n"/>
      <c r="I115" s="156" t="n"/>
      <c r="L115" s="33" t="n"/>
      <c r="M115" s="34" t="n"/>
      <c r="O115" s="34" t="n"/>
      <c r="P115" s="119" t="n"/>
      <c r="Q115" s="34" t="n"/>
      <c r="R115" s="119" t="n"/>
      <c r="T115" s="119" t="n"/>
      <c r="U115" s="34" t="n"/>
      <c r="V115" s="119" t="n"/>
    </row>
    <row r="116" ht="15" customFormat="1" customHeight="1" s="116">
      <c r="B116" s="117" t="n"/>
      <c r="C116" s="157" t="n"/>
      <c r="D116" s="28" t="n"/>
      <c r="E116" s="29" t="n"/>
      <c r="F116" s="29" t="n"/>
      <c r="G116" s="29" t="n"/>
      <c r="I116" s="156" t="n"/>
      <c r="L116" s="33" t="n"/>
      <c r="M116" s="34" t="n"/>
      <c r="O116" s="34" t="n"/>
      <c r="P116" s="119" t="n"/>
      <c r="Q116" s="34" t="n"/>
      <c r="R116" s="119" t="n"/>
      <c r="T116" s="119" t="n"/>
      <c r="U116" s="34" t="n"/>
      <c r="V116" s="119" t="n"/>
    </row>
    <row r="117" ht="15" customFormat="1" customHeight="1" s="116">
      <c r="B117" s="117" t="n"/>
      <c r="C117" s="157" t="n"/>
      <c r="D117" s="28" t="n"/>
      <c r="E117" s="29" t="n"/>
      <c r="F117" s="29" t="n"/>
      <c r="G117" s="29" t="n"/>
      <c r="I117" s="156" t="n"/>
      <c r="L117" s="33" t="n"/>
      <c r="M117" s="34" t="n"/>
      <c r="O117" s="34" t="n"/>
      <c r="P117" s="119" t="n"/>
      <c r="Q117" s="34" t="n"/>
      <c r="R117" s="119" t="n"/>
      <c r="T117" s="119" t="n"/>
      <c r="U117" s="34" t="n"/>
      <c r="V117" s="119" t="n"/>
    </row>
    <row r="118" ht="15" customFormat="1" customHeight="1" s="116">
      <c r="B118" s="117" t="n"/>
      <c r="C118" s="157" t="n"/>
      <c r="D118" s="28" t="n"/>
      <c r="E118" s="29" t="n"/>
      <c r="F118" s="29" t="n"/>
      <c r="G118" s="29" t="n"/>
      <c r="I118" s="156" t="n"/>
      <c r="L118" s="33" t="n"/>
      <c r="M118" s="34" t="n"/>
      <c r="O118" s="34" t="n"/>
      <c r="P118" s="119" t="n"/>
      <c r="Q118" s="34" t="n"/>
      <c r="R118" s="119" t="n"/>
      <c r="T118" s="119" t="n"/>
      <c r="U118" s="34" t="n"/>
      <c r="V118" s="119" t="n"/>
    </row>
    <row r="119" ht="15" customFormat="1" customHeight="1" s="116">
      <c r="B119" s="117" t="n"/>
      <c r="C119" s="157" t="n"/>
      <c r="D119" s="28" t="n"/>
      <c r="E119" s="29" t="n"/>
      <c r="F119" s="29" t="n"/>
      <c r="G119" s="29" t="n"/>
      <c r="I119" s="156" t="n"/>
      <c r="L119" s="33" t="n"/>
      <c r="M119" s="34" t="n"/>
      <c r="O119" s="34" t="n"/>
      <c r="P119" s="119" t="n"/>
      <c r="Q119" s="34" t="n"/>
      <c r="R119" s="119" t="n"/>
      <c r="T119" s="119" t="n"/>
      <c r="U119" s="34" t="n"/>
      <c r="V119" s="119" t="n"/>
    </row>
    <row r="120" ht="15" customFormat="1" customHeight="1" s="116">
      <c r="B120" s="117" t="n"/>
      <c r="C120" s="157" t="n"/>
      <c r="D120" s="28" t="n"/>
      <c r="E120" s="29" t="n"/>
      <c r="F120" s="29" t="n"/>
      <c r="G120" s="29" t="n"/>
      <c r="I120" s="156" t="n"/>
      <c r="L120" s="33" t="n"/>
      <c r="M120" s="34" t="n"/>
      <c r="O120" s="34" t="n"/>
      <c r="P120" s="119" t="n"/>
      <c r="Q120" s="34" t="n"/>
      <c r="R120" s="119" t="n"/>
      <c r="T120" s="119" t="n"/>
      <c r="U120" s="34" t="n"/>
      <c r="V120" s="119" t="n"/>
    </row>
    <row r="121" ht="15" customFormat="1" customHeight="1" s="116">
      <c r="B121" s="117" t="n"/>
      <c r="C121" s="157" t="n"/>
      <c r="D121" s="28" t="n"/>
      <c r="E121" s="29" t="n"/>
      <c r="F121" s="29" t="n"/>
      <c r="G121" s="29" t="n"/>
      <c r="I121" s="156" t="n"/>
      <c r="L121" s="33" t="n"/>
      <c r="M121" s="34" t="n"/>
      <c r="O121" s="34" t="n"/>
      <c r="P121" s="119" t="n"/>
      <c r="Q121" s="34" t="n"/>
      <c r="R121" s="119" t="n"/>
      <c r="T121" s="119" t="n"/>
      <c r="U121" s="34" t="n"/>
      <c r="V121" s="119" t="n"/>
    </row>
    <row r="122" ht="15" customFormat="1" customHeight="1" s="116">
      <c r="B122" s="117" t="n"/>
      <c r="C122" s="157" t="n"/>
      <c r="D122" s="28" t="n"/>
      <c r="E122" s="29" t="n"/>
      <c r="F122" s="29" t="n"/>
      <c r="G122" s="29" t="n"/>
      <c r="I122" s="156" t="n"/>
      <c r="L122" s="33" t="n"/>
      <c r="M122" s="34" t="n"/>
      <c r="O122" s="34" t="n"/>
      <c r="P122" s="119" t="n"/>
      <c r="Q122" s="34" t="n"/>
      <c r="R122" s="119" t="n"/>
      <c r="T122" s="119" t="n"/>
      <c r="U122" s="34" t="n"/>
      <c r="V122" s="119" t="n"/>
    </row>
    <row r="123" ht="15" customFormat="1" customHeight="1" s="116">
      <c r="B123" s="117" t="n"/>
      <c r="C123" s="157" t="n"/>
      <c r="D123" s="28" t="n"/>
      <c r="E123" s="29" t="n"/>
      <c r="F123" s="29" t="n"/>
      <c r="G123" s="29" t="n"/>
      <c r="I123" s="156" t="n"/>
      <c r="L123" s="33" t="n"/>
      <c r="M123" s="34" t="n"/>
      <c r="O123" s="34" t="n"/>
      <c r="P123" s="119" t="n"/>
      <c r="Q123" s="34" t="n"/>
      <c r="R123" s="119" t="n"/>
      <c r="T123" s="119" t="n"/>
      <c r="U123" s="34" t="n"/>
      <c r="V123" s="119" t="n"/>
    </row>
    <row r="124" ht="15" customFormat="1" customHeight="1" s="116">
      <c r="B124" s="117" t="n"/>
      <c r="C124" s="157" t="n"/>
      <c r="D124" s="28" t="n"/>
      <c r="E124" s="29" t="n"/>
      <c r="F124" s="29" t="n"/>
      <c r="G124" s="29" t="n"/>
      <c r="I124" s="156" t="n"/>
      <c r="L124" s="33" t="n"/>
      <c r="M124" s="34" t="n"/>
      <c r="O124" s="34" t="n"/>
      <c r="P124" s="119" t="n"/>
      <c r="Q124" s="34" t="n"/>
      <c r="R124" s="119" t="n"/>
      <c r="T124" s="119" t="n"/>
      <c r="U124" s="34" t="n"/>
      <c r="V124" s="119" t="n"/>
    </row>
    <row r="125" ht="15" customFormat="1" customHeight="1" s="116">
      <c r="B125" s="117" t="n"/>
      <c r="C125" s="157" t="n"/>
      <c r="D125" s="28" t="n"/>
      <c r="E125" s="29" t="n"/>
      <c r="F125" s="29" t="n"/>
      <c r="G125" s="29" t="n"/>
      <c r="I125" s="156" t="n"/>
      <c r="L125" s="33" t="n"/>
      <c r="M125" s="34" t="n"/>
      <c r="O125" s="34" t="n"/>
      <c r="P125" s="119" t="n"/>
      <c r="Q125" s="34" t="n"/>
      <c r="R125" s="119" t="n"/>
      <c r="T125" s="119" t="n"/>
      <c r="U125" s="34" t="n"/>
      <c r="V125" s="119" t="n"/>
    </row>
    <row r="126" ht="15" customFormat="1" customHeight="1" s="116">
      <c r="B126" s="117" t="n"/>
      <c r="C126" s="157" t="n"/>
      <c r="D126" s="28" t="n"/>
      <c r="E126" s="29" t="n"/>
      <c r="F126" s="29" t="n"/>
      <c r="G126" s="29" t="n"/>
      <c r="I126" s="156" t="n"/>
      <c r="L126" s="33" t="n"/>
      <c r="M126" s="34" t="n"/>
      <c r="O126" s="34" t="n"/>
      <c r="P126" s="119" t="n"/>
      <c r="Q126" s="34" t="n"/>
      <c r="R126" s="119" t="n"/>
      <c r="T126" s="119" t="n"/>
      <c r="U126" s="34" t="n"/>
      <c r="V126" s="119" t="n"/>
    </row>
    <row r="127" ht="15" customFormat="1" customHeight="1" s="116">
      <c r="B127" s="117" t="n"/>
      <c r="C127" s="157" t="n"/>
      <c r="D127" s="28" t="n"/>
      <c r="E127" s="29" t="n"/>
      <c r="F127" s="29" t="n"/>
      <c r="G127" s="29" t="n"/>
      <c r="I127" s="156" t="n"/>
      <c r="L127" s="33" t="n"/>
      <c r="M127" s="34" t="n"/>
      <c r="O127" s="34" t="n"/>
      <c r="P127" s="119" t="n"/>
      <c r="Q127" s="34" t="n"/>
      <c r="R127" s="119" t="n"/>
      <c r="T127" s="119" t="n"/>
      <c r="U127" s="34" t="n"/>
      <c r="V127" s="119" t="n"/>
    </row>
    <row r="128" ht="15" customFormat="1" customHeight="1" s="116">
      <c r="B128" s="117" t="n"/>
      <c r="C128" s="157" t="n"/>
      <c r="D128" s="28" t="n"/>
      <c r="E128" s="29" t="n"/>
      <c r="F128" s="29" t="n"/>
      <c r="G128" s="29" t="n"/>
      <c r="I128" s="156" t="n"/>
      <c r="L128" s="33" t="n"/>
      <c r="M128" s="34" t="n"/>
      <c r="O128" s="34" t="n"/>
      <c r="P128" s="119" t="n"/>
      <c r="Q128" s="34" t="n"/>
      <c r="R128" s="119" t="n"/>
      <c r="T128" s="119" t="n"/>
      <c r="U128" s="34" t="n"/>
      <c r="V128" s="119" t="n"/>
    </row>
    <row r="129" ht="15" customFormat="1" customHeight="1" s="116">
      <c r="B129" s="117" t="n"/>
      <c r="C129" s="157" t="n"/>
      <c r="D129" s="28" t="n"/>
      <c r="E129" s="29" t="n"/>
      <c r="F129" s="29" t="n"/>
      <c r="G129" s="29" t="n"/>
      <c r="I129" s="156" t="n"/>
      <c r="L129" s="33" t="n"/>
      <c r="M129" s="34" t="n"/>
      <c r="O129" s="34" t="n"/>
      <c r="P129" s="119" t="n"/>
      <c r="Q129" s="34" t="n"/>
      <c r="R129" s="119" t="n"/>
      <c r="T129" s="119" t="n"/>
      <c r="U129" s="34" t="n"/>
      <c r="V129" s="119" t="n"/>
    </row>
    <row r="130" ht="15" customFormat="1" customHeight="1" s="116">
      <c r="B130" s="117" t="n"/>
      <c r="C130" s="157" t="n"/>
      <c r="D130" s="28" t="n"/>
      <c r="E130" s="29" t="n"/>
      <c r="F130" s="29" t="n"/>
      <c r="G130" s="29" t="n"/>
      <c r="I130" s="156" t="n"/>
      <c r="L130" s="33" t="n"/>
      <c r="M130" s="34" t="n"/>
      <c r="O130" s="34" t="n"/>
      <c r="P130" s="119" t="n"/>
      <c r="Q130" s="34" t="n"/>
      <c r="R130" s="119" t="n"/>
      <c r="T130" s="119" t="n"/>
      <c r="U130" s="34" t="n"/>
      <c r="V130" s="119" t="n"/>
    </row>
    <row r="131" ht="15" customFormat="1" customHeight="1" s="116">
      <c r="B131" s="117" t="n"/>
      <c r="C131" s="157" t="n"/>
      <c r="D131" s="28" t="n"/>
      <c r="E131" s="29" t="n"/>
      <c r="F131" s="29" t="n"/>
      <c r="G131" s="29" t="n"/>
      <c r="I131" s="156" t="n"/>
      <c r="L131" s="33" t="n"/>
      <c r="M131" s="34" t="n"/>
      <c r="O131" s="34" t="n"/>
      <c r="P131" s="119" t="n"/>
      <c r="Q131" s="34" t="n"/>
      <c r="R131" s="119" t="n"/>
      <c r="T131" s="119" t="n"/>
      <c r="U131" s="34" t="n"/>
      <c r="V131" s="119" t="n"/>
    </row>
    <row r="132" ht="15" customFormat="1" customHeight="1" s="116">
      <c r="B132" s="117" t="n"/>
      <c r="C132" s="157" t="n"/>
      <c r="D132" s="28" t="n"/>
      <c r="E132" s="29" t="n"/>
      <c r="F132" s="29" t="n"/>
      <c r="G132" s="29" t="n"/>
      <c r="I132" s="156" t="n"/>
      <c r="L132" s="33" t="n"/>
      <c r="M132" s="34" t="n"/>
      <c r="O132" s="34" t="n"/>
      <c r="P132" s="119" t="n"/>
      <c r="Q132" s="34" t="n"/>
      <c r="R132" s="119" t="n"/>
      <c r="T132" s="119" t="n"/>
      <c r="U132" s="34" t="n"/>
      <c r="V132" s="119" t="n"/>
    </row>
    <row r="133" ht="15" customFormat="1" customHeight="1" s="116">
      <c r="B133" s="117" t="n"/>
      <c r="C133" s="157" t="n"/>
      <c r="D133" s="28" t="n"/>
      <c r="E133" s="29" t="n"/>
      <c r="F133" s="29" t="n"/>
      <c r="G133" s="29" t="n"/>
      <c r="I133" s="156" t="n"/>
      <c r="L133" s="33" t="n"/>
      <c r="M133" s="34" t="n"/>
      <c r="O133" s="34" t="n"/>
      <c r="P133" s="119" t="n"/>
      <c r="Q133" s="34" t="n"/>
      <c r="R133" s="119" t="n"/>
      <c r="T133" s="119" t="n"/>
      <c r="U133" s="34" t="n"/>
      <c r="V133" s="119" t="n"/>
    </row>
    <row r="134" ht="15" customFormat="1" customHeight="1" s="116">
      <c r="B134" s="117" t="n"/>
      <c r="C134" s="157" t="n"/>
      <c r="D134" s="28" t="n"/>
      <c r="E134" s="29" t="n"/>
      <c r="F134" s="29" t="n"/>
      <c r="G134" s="29" t="n"/>
      <c r="I134" s="156" t="n"/>
      <c r="L134" s="33" t="n"/>
      <c r="M134" s="34" t="n"/>
      <c r="O134" s="34" t="n"/>
      <c r="P134" s="119" t="n"/>
      <c r="Q134" s="34" t="n"/>
      <c r="R134" s="119" t="n"/>
      <c r="T134" s="119" t="n"/>
      <c r="U134" s="34" t="n"/>
      <c r="V134" s="119" t="n"/>
    </row>
    <row r="135" ht="15" customFormat="1" customHeight="1" s="116">
      <c r="B135" s="117" t="n"/>
      <c r="C135" s="157" t="n"/>
      <c r="D135" s="28" t="n"/>
      <c r="E135" s="29" t="n"/>
      <c r="F135" s="29" t="n"/>
      <c r="G135" s="29" t="n"/>
      <c r="I135" s="156" t="n"/>
      <c r="L135" s="33" t="n"/>
      <c r="M135" s="34" t="n"/>
      <c r="O135" s="34" t="n"/>
      <c r="P135" s="119" t="n"/>
      <c r="Q135" s="34" t="n"/>
      <c r="R135" s="119" t="n"/>
      <c r="T135" s="119" t="n"/>
      <c r="U135" s="34" t="n"/>
      <c r="V135" s="119" t="n"/>
    </row>
    <row r="136" ht="15" customFormat="1" customHeight="1" s="116">
      <c r="B136" s="117" t="n"/>
      <c r="C136" s="157" t="n"/>
      <c r="D136" s="28" t="n"/>
      <c r="E136" s="29" t="n"/>
      <c r="F136" s="29" t="n"/>
      <c r="G136" s="29" t="n"/>
      <c r="I136" s="156" t="n"/>
      <c r="L136" s="33" t="n"/>
      <c r="M136" s="34" t="n"/>
      <c r="O136" s="34" t="n"/>
      <c r="P136" s="119" t="n"/>
      <c r="Q136" s="34" t="n"/>
      <c r="R136" s="119" t="n"/>
      <c r="T136" s="119" t="n"/>
      <c r="U136" s="34" t="n"/>
      <c r="V136" s="119" t="n"/>
    </row>
    <row r="137" ht="15" customFormat="1" customHeight="1" s="116">
      <c r="B137" s="117" t="n"/>
      <c r="C137" s="157" t="n"/>
      <c r="D137" s="28" t="n"/>
      <c r="E137" s="29" t="n"/>
      <c r="F137" s="29" t="n"/>
      <c r="G137" s="29" t="n"/>
      <c r="I137" s="156" t="n"/>
      <c r="L137" s="33" t="n"/>
      <c r="M137" s="34" t="n"/>
      <c r="O137" s="34" t="n"/>
      <c r="P137" s="119" t="n"/>
      <c r="Q137" s="34" t="n"/>
      <c r="R137" s="119" t="n"/>
      <c r="T137" s="119" t="n"/>
      <c r="U137" s="34" t="n"/>
      <c r="V137" s="119" t="n"/>
    </row>
    <row r="138" ht="15" customFormat="1" customHeight="1" s="116">
      <c r="B138" s="117" t="n"/>
      <c r="C138" s="157" t="n"/>
      <c r="D138" s="28" t="n"/>
      <c r="E138" s="29" t="n"/>
      <c r="F138" s="29" t="n"/>
      <c r="G138" s="29" t="n"/>
      <c r="I138" s="156" t="n"/>
      <c r="L138" s="33" t="n"/>
      <c r="M138" s="34" t="n"/>
      <c r="O138" s="34" t="n"/>
      <c r="P138" s="119" t="n"/>
      <c r="Q138" s="34" t="n"/>
      <c r="R138" s="119" t="n"/>
      <c r="T138" s="119" t="n"/>
      <c r="U138" s="34" t="n"/>
      <c r="V138" s="119" t="n"/>
    </row>
    <row r="139" ht="15" customFormat="1" customHeight="1" s="116">
      <c r="B139" s="117" t="n"/>
      <c r="C139" s="157" t="n"/>
      <c r="D139" s="28" t="n"/>
      <c r="E139" s="29" t="n"/>
      <c r="F139" s="29" t="n"/>
      <c r="G139" s="29" t="n"/>
      <c r="I139" s="156" t="n"/>
      <c r="L139" s="33" t="n"/>
      <c r="M139" s="34" t="n"/>
      <c r="O139" s="34" t="n"/>
      <c r="P139" s="119" t="n"/>
      <c r="Q139" s="34" t="n"/>
      <c r="R139" s="119" t="n"/>
      <c r="T139" s="119" t="n"/>
      <c r="U139" s="34" t="n"/>
      <c r="V139" s="119" t="n"/>
    </row>
    <row r="140" ht="15" customFormat="1" customHeight="1" s="116">
      <c r="B140" s="117" t="n"/>
      <c r="C140" s="157" t="n"/>
      <c r="D140" s="28" t="n"/>
      <c r="E140" s="29" t="n"/>
      <c r="F140" s="29" t="n"/>
      <c r="G140" s="29" t="n"/>
      <c r="I140" s="156" t="n"/>
      <c r="L140" s="33" t="n"/>
      <c r="M140" s="34" t="n"/>
      <c r="O140" s="34" t="n"/>
      <c r="P140" s="119" t="n"/>
      <c r="Q140" s="34" t="n"/>
      <c r="R140" s="119" t="n"/>
      <c r="T140" s="119" t="n"/>
      <c r="U140" s="34" t="n"/>
      <c r="V140" s="119" t="n"/>
    </row>
    <row r="141" ht="15" customFormat="1" customHeight="1" s="116">
      <c r="B141" s="117" t="n"/>
      <c r="C141" s="157" t="n"/>
      <c r="D141" s="28" t="n"/>
      <c r="E141" s="29" t="n"/>
      <c r="F141" s="29" t="n"/>
      <c r="G141" s="29" t="n"/>
      <c r="I141" s="156" t="n"/>
      <c r="L141" s="33" t="n"/>
      <c r="M141" s="34" t="n"/>
      <c r="O141" s="34" t="n"/>
      <c r="P141" s="119" t="n"/>
      <c r="Q141" s="34" t="n"/>
      <c r="R141" s="119" t="n"/>
      <c r="T141" s="119" t="n"/>
      <c r="U141" s="34" t="n"/>
      <c r="V141" s="119" t="n"/>
    </row>
    <row r="142" ht="15" customFormat="1" customHeight="1" s="116">
      <c r="B142" s="117" t="n"/>
      <c r="C142" s="157" t="n"/>
      <c r="D142" s="28" t="n"/>
      <c r="E142" s="29" t="n"/>
      <c r="F142" s="29" t="n"/>
      <c r="G142" s="29" t="n"/>
      <c r="I142" s="156" t="n"/>
      <c r="L142" s="33" t="n"/>
      <c r="M142" s="34" t="n"/>
      <c r="O142" s="34" t="n"/>
      <c r="P142" s="119" t="n"/>
      <c r="Q142" s="34" t="n"/>
      <c r="R142" s="119" t="n"/>
      <c r="T142" s="119" t="n"/>
      <c r="U142" s="34" t="n"/>
      <c r="V142" s="119" t="n"/>
    </row>
    <row r="143" ht="15" customFormat="1" customHeight="1" s="116">
      <c r="B143" s="117" t="n"/>
      <c r="C143" s="157" t="n"/>
      <c r="D143" s="28" t="n"/>
      <c r="E143" s="29" t="n"/>
      <c r="F143" s="29" t="n"/>
      <c r="G143" s="29" t="n"/>
      <c r="I143" s="156" t="n"/>
      <c r="L143" s="33" t="n"/>
      <c r="M143" s="34" t="n"/>
      <c r="O143" s="34" t="n"/>
      <c r="P143" s="119" t="n"/>
      <c r="Q143" s="34" t="n"/>
      <c r="R143" s="119" t="n"/>
      <c r="T143" s="119" t="n"/>
      <c r="U143" s="34" t="n"/>
      <c r="V143" s="119" t="n"/>
    </row>
    <row r="144" ht="15" customFormat="1" customHeight="1" s="116">
      <c r="B144" s="117" t="n"/>
      <c r="C144" s="157" t="n"/>
      <c r="D144" s="28" t="n"/>
      <c r="E144" s="29" t="n"/>
      <c r="F144" s="29" t="n"/>
      <c r="G144" s="29" t="n"/>
      <c r="I144" s="156" t="n"/>
      <c r="L144" s="33" t="n"/>
      <c r="M144" s="34" t="n"/>
      <c r="O144" s="34" t="n"/>
      <c r="P144" s="119" t="n"/>
      <c r="Q144" s="34" t="n"/>
      <c r="R144" s="119" t="n"/>
      <c r="T144" s="119" t="n"/>
      <c r="U144" s="34" t="n"/>
      <c r="V144" s="119" t="n"/>
    </row>
    <row r="145" ht="15" customFormat="1" customHeight="1" s="116">
      <c r="B145" s="117" t="n"/>
      <c r="C145" s="157" t="n"/>
      <c r="D145" s="28" t="n"/>
      <c r="E145" s="29" t="n"/>
      <c r="F145" s="29" t="n"/>
      <c r="G145" s="29" t="n"/>
      <c r="I145" s="156" t="n"/>
      <c r="L145" s="33" t="n"/>
      <c r="M145" s="34" t="n"/>
      <c r="O145" s="34" t="n"/>
      <c r="P145" s="119" t="n"/>
      <c r="Q145" s="34" t="n"/>
      <c r="R145" s="119" t="n"/>
      <c r="T145" s="119" t="n"/>
      <c r="U145" s="34" t="n"/>
      <c r="V145" s="119" t="n"/>
    </row>
    <row r="146" ht="15" customFormat="1" customHeight="1" s="116">
      <c r="B146" s="117" t="n"/>
      <c r="C146" s="157" t="n"/>
      <c r="D146" s="28" t="n"/>
      <c r="E146" s="29" t="n"/>
      <c r="F146" s="29" t="n"/>
      <c r="G146" s="29" t="n"/>
      <c r="I146" s="156" t="n"/>
      <c r="L146" s="33" t="n"/>
      <c r="M146" s="34" t="n"/>
      <c r="O146" s="34" t="n"/>
      <c r="P146" s="119" t="n"/>
      <c r="Q146" s="34" t="n"/>
      <c r="R146" s="119" t="n"/>
      <c r="T146" s="119" t="n"/>
      <c r="U146" s="34" t="n"/>
      <c r="V146" s="119" t="n"/>
    </row>
    <row r="147" ht="15" customFormat="1" customHeight="1" s="116">
      <c r="B147" s="117" t="n"/>
      <c r="C147" s="157" t="n"/>
      <c r="D147" s="28" t="n"/>
      <c r="E147" s="29" t="n"/>
      <c r="F147" s="29" t="n"/>
      <c r="G147" s="29" t="n"/>
      <c r="I147" s="156" t="n"/>
      <c r="L147" s="33" t="n"/>
      <c r="M147" s="34" t="n"/>
      <c r="O147" s="34" t="n"/>
      <c r="P147" s="119" t="n"/>
      <c r="Q147" s="34" t="n"/>
      <c r="R147" s="119" t="n"/>
      <c r="T147" s="119" t="n"/>
      <c r="U147" s="34" t="n"/>
      <c r="V147" s="119" t="n"/>
    </row>
    <row r="148" ht="15" customFormat="1" customHeight="1" s="116">
      <c r="B148" s="117" t="n"/>
      <c r="C148" s="157" t="n"/>
      <c r="D148" s="28" t="n"/>
      <c r="E148" s="29" t="n"/>
      <c r="F148" s="29" t="n"/>
      <c r="G148" s="29" t="n"/>
      <c r="I148" s="156" t="n"/>
      <c r="L148" s="33" t="n"/>
      <c r="M148" s="34" t="n"/>
      <c r="O148" s="34" t="n"/>
      <c r="P148" s="119" t="n"/>
      <c r="Q148" s="34" t="n"/>
      <c r="R148" s="119" t="n"/>
      <c r="T148" s="119" t="n"/>
      <c r="U148" s="34" t="n"/>
      <c r="V148" s="119" t="n"/>
    </row>
    <row r="149" ht="15" customFormat="1" customHeight="1" s="116">
      <c r="B149" s="117" t="n"/>
      <c r="C149" s="157" t="n"/>
      <c r="D149" s="28" t="n"/>
      <c r="E149" s="29" t="n"/>
      <c r="F149" s="29" t="n"/>
      <c r="G149" s="29" t="n"/>
      <c r="I149" s="156" t="n"/>
      <c r="L149" s="33" t="n"/>
      <c r="M149" s="34" t="n"/>
      <c r="O149" s="34" t="n"/>
      <c r="P149" s="119" t="n"/>
      <c r="Q149" s="34" t="n"/>
      <c r="R149" s="119" t="n"/>
      <c r="T149" s="119" t="n"/>
      <c r="U149" s="34" t="n"/>
      <c r="V149" s="119" t="n"/>
    </row>
    <row r="150" ht="15" customFormat="1" customHeight="1" s="116">
      <c r="B150" s="117" t="n"/>
      <c r="C150" s="157" t="n"/>
      <c r="D150" s="28" t="n"/>
      <c r="E150" s="29" t="n"/>
      <c r="F150" s="29" t="n"/>
      <c r="G150" s="29" t="n"/>
      <c r="I150" s="156" t="n"/>
      <c r="L150" s="33" t="n"/>
      <c r="M150" s="34" t="n"/>
      <c r="O150" s="34" t="n"/>
      <c r="P150" s="119" t="n"/>
      <c r="Q150" s="34" t="n"/>
      <c r="R150" s="119" t="n"/>
      <c r="T150" s="119" t="n"/>
      <c r="U150" s="34" t="n"/>
      <c r="V150" s="119" t="n"/>
    </row>
    <row r="151" ht="15" customFormat="1" customHeight="1" s="116">
      <c r="B151" s="117" t="n"/>
      <c r="C151" s="157" t="n"/>
      <c r="D151" s="28" t="n"/>
      <c r="E151" s="29" t="n"/>
      <c r="F151" s="29" t="n"/>
      <c r="G151" s="29" t="n"/>
      <c r="I151" s="156" t="n"/>
      <c r="L151" s="33" t="n"/>
      <c r="M151" s="34" t="n"/>
      <c r="O151" s="34" t="n"/>
      <c r="P151" s="119" t="n"/>
      <c r="Q151" s="34" t="n"/>
      <c r="R151" s="119" t="n"/>
      <c r="T151" s="119" t="n"/>
      <c r="U151" s="34" t="n"/>
      <c r="V151" s="119" t="n"/>
    </row>
    <row r="152" ht="15" customFormat="1" customHeight="1" s="116">
      <c r="B152" s="117" t="n"/>
      <c r="C152" s="157" t="n"/>
      <c r="D152" s="28" t="n"/>
      <c r="E152" s="29" t="n"/>
      <c r="F152" s="29" t="n"/>
      <c r="G152" s="29" t="n"/>
      <c r="I152" s="156" t="n"/>
      <c r="L152" s="33" t="n"/>
      <c r="M152" s="34" t="n"/>
      <c r="O152" s="34" t="n"/>
      <c r="P152" s="119" t="n"/>
      <c r="Q152" s="34" t="n"/>
      <c r="R152" s="119" t="n"/>
      <c r="T152" s="119" t="n"/>
      <c r="U152" s="34" t="n"/>
      <c r="V152" s="119" t="n"/>
    </row>
    <row r="153" ht="15" customFormat="1" customHeight="1" s="116">
      <c r="B153" s="117" t="n"/>
      <c r="C153" s="157" t="n"/>
      <c r="D153" s="28" t="n"/>
      <c r="E153" s="29" t="n"/>
      <c r="F153" s="29" t="n"/>
      <c r="G153" s="29" t="n"/>
      <c r="I153" s="156" t="n"/>
      <c r="L153" s="33" t="n"/>
      <c r="M153" s="34" t="n"/>
      <c r="O153" s="34" t="n"/>
      <c r="P153" s="119" t="n"/>
      <c r="Q153" s="34" t="n"/>
      <c r="R153" s="119" t="n"/>
      <c r="T153" s="119" t="n"/>
      <c r="U153" s="34" t="n"/>
      <c r="V153" s="119" t="n"/>
    </row>
    <row r="154" ht="15" customFormat="1" customHeight="1" s="116">
      <c r="B154" s="117" t="n"/>
      <c r="C154" s="157" t="n"/>
      <c r="D154" s="28" t="n"/>
      <c r="E154" s="29" t="n"/>
      <c r="F154" s="29" t="n"/>
      <c r="G154" s="29" t="n"/>
      <c r="I154" s="156" t="n"/>
      <c r="L154" s="33" t="n"/>
      <c r="M154" s="34" t="n"/>
      <c r="O154" s="34" t="n"/>
      <c r="P154" s="119" t="n"/>
      <c r="Q154" s="34" t="n"/>
      <c r="R154" s="119" t="n"/>
      <c r="T154" s="119" t="n"/>
      <c r="U154" s="34" t="n"/>
      <c r="V154" s="119" t="n"/>
    </row>
    <row r="155" ht="15" customFormat="1" customHeight="1" s="116">
      <c r="B155" s="117" t="n"/>
      <c r="C155" s="157" t="n"/>
      <c r="D155" s="28" t="n"/>
      <c r="E155" s="29" t="n"/>
      <c r="F155" s="29" t="n"/>
      <c r="G155" s="29" t="n"/>
      <c r="I155" s="156" t="n"/>
      <c r="L155" s="33" t="n"/>
      <c r="M155" s="34" t="n"/>
      <c r="O155" s="34" t="n"/>
      <c r="P155" s="119" t="n"/>
      <c r="Q155" s="34" t="n"/>
      <c r="R155" s="119" t="n"/>
      <c r="T155" s="119" t="n"/>
      <c r="U155" s="34" t="n"/>
      <c r="V155" s="119" t="n"/>
    </row>
    <row r="156" ht="15" customFormat="1" customHeight="1" s="116">
      <c r="B156" s="117" t="n"/>
      <c r="C156" s="157" t="n"/>
      <c r="D156" s="28" t="n"/>
      <c r="E156" s="29" t="n"/>
      <c r="F156" s="29" t="n"/>
      <c r="G156" s="29" t="n"/>
      <c r="I156" s="156" t="n"/>
      <c r="L156" s="33" t="n"/>
      <c r="M156" s="34" t="n"/>
      <c r="O156" s="34" t="n"/>
      <c r="P156" s="119" t="n"/>
      <c r="Q156" s="34" t="n"/>
      <c r="R156" s="119" t="n"/>
      <c r="T156" s="119" t="n"/>
      <c r="U156" s="34" t="n"/>
      <c r="V156" s="119" t="n"/>
    </row>
    <row r="157" ht="15" customFormat="1" customHeight="1" s="116">
      <c r="B157" s="117" t="n"/>
      <c r="C157" s="157" t="n"/>
      <c r="D157" s="28" t="n"/>
      <c r="E157" s="29" t="n"/>
      <c r="F157" s="29" t="n"/>
      <c r="G157" s="29" t="n"/>
      <c r="I157" s="156" t="n"/>
      <c r="L157" s="33" t="n"/>
      <c r="M157" s="34" t="n"/>
      <c r="O157" s="34" t="n"/>
      <c r="P157" s="119" t="n"/>
      <c r="Q157" s="34" t="n"/>
      <c r="R157" s="119" t="n"/>
      <c r="T157" s="119" t="n"/>
      <c r="U157" s="34" t="n"/>
      <c r="V157" s="119" t="n"/>
    </row>
    <row r="158" ht="15" customFormat="1" customHeight="1" s="116">
      <c r="B158" s="117" t="n"/>
      <c r="C158" s="157" t="n"/>
      <c r="D158" s="28" t="n"/>
      <c r="E158" s="29" t="n"/>
      <c r="F158" s="29" t="n"/>
      <c r="G158" s="29" t="n"/>
      <c r="I158" s="156" t="n"/>
      <c r="L158" s="33" t="n"/>
      <c r="M158" s="34" t="n"/>
      <c r="O158" s="34" t="n"/>
      <c r="P158" s="119" t="n"/>
      <c r="Q158" s="34" t="n"/>
      <c r="R158" s="119" t="n"/>
      <c r="T158" s="119" t="n"/>
      <c r="U158" s="34" t="n"/>
      <c r="V158" s="119" t="n"/>
    </row>
    <row r="159" ht="15" customFormat="1" customHeight="1" s="116">
      <c r="B159" s="117" t="n"/>
      <c r="C159" s="157" t="n"/>
      <c r="D159" s="28" t="n"/>
      <c r="E159" s="29" t="n"/>
      <c r="F159" s="29" t="n"/>
      <c r="G159" s="29" t="n"/>
      <c r="I159" s="156" t="n"/>
      <c r="L159" s="33" t="n"/>
      <c r="M159" s="34" t="n"/>
      <c r="O159" s="34" t="n"/>
      <c r="P159" s="119" t="n"/>
      <c r="Q159" s="34" t="n"/>
      <c r="R159" s="119" t="n"/>
      <c r="T159" s="119" t="n"/>
      <c r="U159" s="34" t="n"/>
      <c r="V159" s="119" t="n"/>
    </row>
    <row r="160" ht="15" customFormat="1" customHeight="1" s="116">
      <c r="B160" s="117" t="n"/>
      <c r="C160" s="157" t="n"/>
      <c r="D160" s="28" t="n"/>
      <c r="E160" s="29" t="n"/>
      <c r="F160" s="29" t="n"/>
      <c r="G160" s="29" t="n"/>
      <c r="I160" s="156" t="n"/>
      <c r="L160" s="33" t="n"/>
      <c r="M160" s="34" t="n"/>
      <c r="O160" s="34" t="n"/>
      <c r="P160" s="119" t="n"/>
      <c r="Q160" s="34" t="n"/>
      <c r="R160" s="119" t="n"/>
      <c r="T160" s="119" t="n"/>
      <c r="U160" s="34" t="n"/>
      <c r="V160" s="119" t="n"/>
    </row>
    <row r="161" ht="15" customFormat="1" customHeight="1" s="116">
      <c r="B161" s="117" t="n"/>
      <c r="C161" s="157" t="n"/>
      <c r="D161" s="28" t="n"/>
      <c r="E161" s="29" t="n"/>
      <c r="F161" s="29" t="n"/>
      <c r="G161" s="29" t="n"/>
      <c r="I161" s="156" t="n"/>
      <c r="L161" s="33" t="n"/>
      <c r="M161" s="34" t="n"/>
      <c r="O161" s="34" t="n"/>
      <c r="P161" s="119" t="n"/>
      <c r="Q161" s="34" t="n"/>
      <c r="R161" s="119" t="n"/>
      <c r="T161" s="119" t="n"/>
      <c r="U161" s="34" t="n"/>
      <c r="V161" s="119" t="n"/>
    </row>
    <row r="162" ht="15" customFormat="1" customHeight="1" s="116">
      <c r="B162" s="117" t="n"/>
      <c r="C162" s="157" t="n"/>
      <c r="D162" s="28" t="n"/>
      <c r="E162" s="29" t="n"/>
      <c r="F162" s="29" t="n"/>
      <c r="G162" s="29" t="n"/>
      <c r="I162" s="156" t="n"/>
      <c r="L162" s="33" t="n"/>
      <c r="M162" s="34" t="n"/>
      <c r="O162" s="34" t="n"/>
      <c r="P162" s="119" t="n"/>
      <c r="Q162" s="34" t="n"/>
      <c r="R162" s="119" t="n"/>
      <c r="T162" s="119" t="n"/>
      <c r="U162" s="34" t="n"/>
      <c r="V162" s="119" t="n"/>
    </row>
    <row r="163" ht="15" customFormat="1" customHeight="1" s="116">
      <c r="B163" s="117" t="n"/>
      <c r="C163" s="157" t="n"/>
      <c r="D163" s="28" t="n"/>
      <c r="E163" s="29" t="n"/>
      <c r="F163" s="29" t="n"/>
      <c r="G163" s="29" t="n"/>
      <c r="I163" s="156" t="n"/>
      <c r="L163" s="33" t="n"/>
      <c r="M163" s="34" t="n"/>
      <c r="O163" s="34" t="n"/>
      <c r="P163" s="119" t="n"/>
      <c r="Q163" s="34" t="n"/>
      <c r="R163" s="119" t="n"/>
      <c r="T163" s="119" t="n"/>
      <c r="U163" s="34" t="n"/>
      <c r="V163" s="119" t="n"/>
    </row>
    <row r="164" ht="15" customFormat="1" customHeight="1" s="116">
      <c r="B164" s="117" t="n"/>
      <c r="C164" s="157" t="n"/>
      <c r="D164" s="28" t="n"/>
      <c r="E164" s="29" t="n"/>
      <c r="F164" s="29" t="n"/>
      <c r="G164" s="29" t="n"/>
      <c r="I164" s="156" t="n"/>
      <c r="L164" s="33" t="n"/>
      <c r="M164" s="34" t="n"/>
      <c r="O164" s="34" t="n"/>
      <c r="P164" s="119" t="n"/>
      <c r="Q164" s="34" t="n"/>
      <c r="R164" s="119" t="n"/>
      <c r="T164" s="119" t="n"/>
      <c r="U164" s="34" t="n"/>
      <c r="V164" s="119" t="n"/>
    </row>
    <row r="165" ht="15" customFormat="1" customHeight="1" s="116">
      <c r="B165" s="117" t="n"/>
      <c r="C165" s="157" t="n"/>
      <c r="D165" s="28" t="n"/>
      <c r="E165" s="29" t="n"/>
      <c r="F165" s="29" t="n"/>
      <c r="G165" s="29" t="n"/>
      <c r="I165" s="156" t="n"/>
      <c r="L165" s="33" t="n"/>
      <c r="M165" s="34" t="n"/>
      <c r="O165" s="34" t="n"/>
      <c r="P165" s="119" t="n"/>
      <c r="Q165" s="34" t="n"/>
      <c r="R165" s="119" t="n"/>
      <c r="T165" s="119" t="n"/>
      <c r="U165" s="34" t="n"/>
      <c r="V165" s="119" t="n"/>
    </row>
    <row r="166" ht="15" customFormat="1" customHeight="1" s="116">
      <c r="B166" s="117" t="n"/>
      <c r="C166" s="157" t="n"/>
      <c r="D166" s="28" t="n"/>
      <c r="E166" s="29" t="n"/>
      <c r="F166" s="29" t="n"/>
      <c r="G166" s="29" t="n"/>
      <c r="I166" s="156" t="n"/>
      <c r="L166" s="33" t="n"/>
      <c r="M166" s="34" t="n"/>
      <c r="O166" s="34" t="n"/>
      <c r="P166" s="119" t="n"/>
      <c r="Q166" s="34" t="n"/>
      <c r="R166" s="119" t="n"/>
      <c r="T166" s="119" t="n"/>
      <c r="U166" s="34" t="n"/>
      <c r="V166" s="119" t="n"/>
    </row>
    <row r="167" ht="15" customFormat="1" customHeight="1" s="116">
      <c r="B167" s="117" t="n"/>
      <c r="C167" s="157" t="n"/>
      <c r="D167" s="28" t="n"/>
      <c r="E167" s="29" t="n"/>
      <c r="F167" s="29" t="n"/>
      <c r="G167" s="29" t="n"/>
      <c r="I167" s="156" t="n"/>
      <c r="L167" s="33" t="n"/>
      <c r="M167" s="34" t="n"/>
      <c r="O167" s="34" t="n"/>
      <c r="P167" s="119" t="n"/>
      <c r="Q167" s="34" t="n"/>
      <c r="R167" s="119" t="n"/>
      <c r="T167" s="119" t="n"/>
      <c r="U167" s="34" t="n"/>
      <c r="V167" s="119" t="n"/>
    </row>
    <row r="168" ht="15" customFormat="1" customHeight="1" s="116">
      <c r="B168" s="117" t="n"/>
      <c r="C168" s="157" t="n"/>
      <c r="D168" s="28" t="n"/>
      <c r="E168" s="29" t="n"/>
      <c r="F168" s="29" t="n"/>
      <c r="G168" s="29" t="n"/>
      <c r="I168" s="156" t="n"/>
      <c r="L168" s="33" t="n"/>
      <c r="M168" s="34" t="n"/>
      <c r="O168" s="34" t="n"/>
      <c r="P168" s="119" t="n"/>
      <c r="Q168" s="34" t="n"/>
      <c r="R168" s="119" t="n"/>
      <c r="T168" s="119" t="n"/>
      <c r="U168" s="34" t="n"/>
      <c r="V168" s="119" t="n"/>
    </row>
    <row r="169" ht="15" customFormat="1" customHeight="1" s="116">
      <c r="B169" s="117" t="n"/>
      <c r="C169" s="157" t="n"/>
      <c r="D169" s="28" t="n"/>
      <c r="E169" s="29" t="n"/>
      <c r="F169" s="29" t="n"/>
      <c r="G169" s="29" t="n"/>
      <c r="I169" s="156" t="n"/>
      <c r="L169" s="33" t="n"/>
      <c r="M169" s="34" t="n"/>
      <c r="O169" s="34" t="n"/>
      <c r="P169" s="119" t="n"/>
      <c r="Q169" s="34" t="n"/>
      <c r="R169" s="119" t="n"/>
      <c r="T169" s="119" t="n"/>
      <c r="U169" s="34" t="n"/>
      <c r="V169" s="119" t="n"/>
    </row>
    <row r="170" ht="15" customFormat="1" customHeight="1" s="116">
      <c r="B170" s="117" t="n"/>
      <c r="C170" s="157" t="n"/>
      <c r="D170" s="28" t="n"/>
      <c r="E170" s="29" t="n"/>
      <c r="F170" s="29" t="n"/>
      <c r="G170" s="29" t="n"/>
      <c r="I170" s="156" t="n"/>
      <c r="L170" s="33" t="n"/>
      <c r="M170" s="34" t="n"/>
      <c r="O170" s="34" t="n"/>
      <c r="P170" s="119" t="n"/>
      <c r="Q170" s="34" t="n"/>
      <c r="R170" s="119" t="n"/>
      <c r="T170" s="119" t="n"/>
      <c r="U170" s="34" t="n"/>
      <c r="V170" s="119" t="n"/>
    </row>
    <row r="171" ht="15" customFormat="1" customHeight="1" s="116">
      <c r="B171" s="117" t="n"/>
      <c r="C171" s="157" t="n"/>
      <c r="D171" s="28" t="n"/>
      <c r="E171" s="29" t="n"/>
      <c r="F171" s="29" t="n"/>
      <c r="G171" s="29" t="n"/>
      <c r="I171" s="156" t="n"/>
      <c r="L171" s="33" t="n"/>
      <c r="M171" s="34" t="n"/>
      <c r="O171" s="34" t="n"/>
      <c r="P171" s="119" t="n"/>
      <c r="Q171" s="34" t="n"/>
      <c r="R171" s="119" t="n"/>
      <c r="T171" s="119" t="n"/>
      <c r="U171" s="34" t="n"/>
      <c r="V171" s="119" t="n"/>
    </row>
    <row r="172" ht="15" customFormat="1" customHeight="1" s="116">
      <c r="B172" s="117" t="n"/>
      <c r="C172" s="157" t="n"/>
      <c r="D172" s="28" t="n"/>
      <c r="E172" s="29" t="n"/>
      <c r="F172" s="29" t="n"/>
      <c r="G172" s="29" t="n"/>
      <c r="I172" s="156" t="n"/>
      <c r="L172" s="33" t="n"/>
      <c r="M172" s="34" t="n"/>
      <c r="O172" s="34" t="n"/>
      <c r="P172" s="119" t="n"/>
      <c r="Q172" s="34" t="n"/>
      <c r="R172" s="119" t="n"/>
      <c r="T172" s="119" t="n"/>
      <c r="U172" s="34" t="n"/>
      <c r="V172" s="119" t="n"/>
    </row>
    <row r="173" ht="15" customFormat="1" customHeight="1" s="116">
      <c r="B173" s="117" t="n"/>
      <c r="C173" s="157" t="n"/>
      <c r="D173" s="28" t="n"/>
      <c r="E173" s="29" t="n"/>
      <c r="F173" s="29" t="n"/>
      <c r="G173" s="29" t="n"/>
      <c r="I173" s="156" t="n"/>
      <c r="L173" s="33" t="n"/>
      <c r="M173" s="34" t="n"/>
      <c r="O173" s="34" t="n"/>
      <c r="P173" s="119" t="n"/>
      <c r="Q173" s="34" t="n"/>
      <c r="R173" s="119" t="n"/>
      <c r="T173" s="119" t="n"/>
      <c r="U173" s="34" t="n"/>
      <c r="V173" s="119" t="n"/>
    </row>
    <row r="174" ht="15" customFormat="1" customHeight="1" s="116">
      <c r="B174" s="117" t="n"/>
      <c r="C174" s="157" t="n"/>
      <c r="D174" s="28" t="n"/>
      <c r="E174" s="29" t="n"/>
      <c r="F174" s="29" t="n"/>
      <c r="G174" s="29" t="n"/>
      <c r="I174" s="156" t="n"/>
      <c r="L174" s="33" t="n"/>
      <c r="M174" s="34" t="n"/>
      <c r="O174" s="34" t="n"/>
      <c r="P174" s="119" t="n"/>
      <c r="Q174" s="34" t="n"/>
      <c r="R174" s="119" t="n"/>
      <c r="T174" s="119" t="n"/>
      <c r="U174" s="34" t="n"/>
      <c r="V174" s="119" t="n"/>
    </row>
    <row r="175" ht="15" customFormat="1" customHeight="1" s="116">
      <c r="B175" s="117" t="n"/>
      <c r="C175" s="157" t="n"/>
      <c r="D175" s="28" t="n"/>
      <c r="E175" s="29" t="n"/>
      <c r="F175" s="29" t="n"/>
      <c r="G175" s="29" t="n"/>
      <c r="I175" s="156" t="n"/>
      <c r="L175" s="33" t="n"/>
      <c r="M175" s="34" t="n"/>
      <c r="O175" s="34" t="n"/>
      <c r="P175" s="119" t="n"/>
      <c r="Q175" s="34" t="n"/>
      <c r="R175" s="119" t="n"/>
      <c r="T175" s="119" t="n"/>
      <c r="U175" s="34" t="n"/>
      <c r="V175" s="119" t="n"/>
    </row>
    <row r="176" ht="15" customFormat="1" customHeight="1" s="116">
      <c r="B176" s="117" t="n"/>
      <c r="C176" s="157" t="n"/>
      <c r="D176" s="28" t="n"/>
      <c r="E176" s="29" t="n"/>
      <c r="F176" s="29" t="n"/>
      <c r="G176" s="29" t="n"/>
      <c r="I176" s="156" t="n"/>
      <c r="L176" s="33" t="n"/>
      <c r="M176" s="34" t="n"/>
      <c r="O176" s="34" t="n"/>
      <c r="P176" s="119" t="n"/>
      <c r="Q176" s="34" t="n"/>
      <c r="R176" s="119" t="n"/>
      <c r="T176" s="119" t="n"/>
      <c r="U176" s="34" t="n"/>
      <c r="V176" s="119" t="n"/>
    </row>
    <row r="177" ht="15" customFormat="1" customHeight="1" s="116">
      <c r="B177" s="117" t="n"/>
      <c r="C177" s="157" t="n"/>
      <c r="D177" s="28" t="n"/>
      <c r="E177" s="29" t="n"/>
      <c r="F177" s="29" t="n"/>
      <c r="G177" s="29" t="n"/>
      <c r="I177" s="156" t="n"/>
      <c r="L177" s="33" t="n"/>
      <c r="M177" s="34" t="n"/>
      <c r="O177" s="34" t="n"/>
      <c r="P177" s="119" t="n"/>
      <c r="Q177" s="34" t="n"/>
      <c r="R177" s="119" t="n"/>
      <c r="T177" s="119" t="n"/>
      <c r="U177" s="34" t="n"/>
      <c r="V177" s="119" t="n"/>
    </row>
    <row r="178" ht="15" customFormat="1" customHeight="1" s="116">
      <c r="B178" s="117" t="n"/>
      <c r="C178" s="157" t="n"/>
      <c r="D178" s="28" t="n"/>
      <c r="E178" s="29" t="n"/>
      <c r="F178" s="29" t="n"/>
      <c r="G178" s="29" t="n"/>
      <c r="I178" s="156" t="n"/>
      <c r="L178" s="33" t="n"/>
      <c r="M178" s="34" t="n"/>
      <c r="O178" s="34" t="n"/>
      <c r="P178" s="119" t="n"/>
      <c r="Q178" s="34" t="n"/>
      <c r="R178" s="119" t="n"/>
      <c r="T178" s="119" t="n"/>
      <c r="U178" s="34" t="n"/>
      <c r="V178" s="119" t="n"/>
    </row>
    <row r="179" ht="15" customFormat="1" customHeight="1" s="116">
      <c r="B179" s="117" t="n"/>
      <c r="C179" s="157" t="n"/>
      <c r="D179" s="28" t="n"/>
      <c r="E179" s="29" t="n"/>
      <c r="F179" s="29" t="n"/>
      <c r="G179" s="29" t="n"/>
      <c r="I179" s="156" t="n"/>
      <c r="L179" s="33" t="n"/>
      <c r="M179" s="34" t="n"/>
      <c r="O179" s="34" t="n"/>
      <c r="P179" s="119" t="n"/>
      <c r="Q179" s="34" t="n"/>
      <c r="R179" s="119" t="n"/>
      <c r="T179" s="119" t="n"/>
      <c r="U179" s="34" t="n"/>
      <c r="V179" s="119" t="n"/>
    </row>
    <row r="180" ht="15" customFormat="1" customHeight="1" s="116">
      <c r="B180" s="117" t="n"/>
      <c r="C180" s="157" t="n"/>
      <c r="D180" s="28" t="n"/>
      <c r="E180" s="29" t="n"/>
      <c r="F180" s="29" t="n"/>
      <c r="G180" s="29" t="n"/>
      <c r="I180" s="156" t="n"/>
      <c r="L180" s="33" t="n"/>
      <c r="M180" s="34" t="n"/>
      <c r="O180" s="34" t="n"/>
      <c r="P180" s="119" t="n"/>
      <c r="Q180" s="34" t="n"/>
      <c r="R180" s="119" t="n"/>
      <c r="T180" s="119" t="n"/>
      <c r="U180" s="34" t="n"/>
      <c r="V180" s="119" t="n"/>
    </row>
    <row r="181" ht="15" customFormat="1" customHeight="1" s="116">
      <c r="B181" s="117" t="n"/>
      <c r="C181" s="157" t="n"/>
      <c r="D181" s="28" t="n"/>
      <c r="E181" s="29" t="n"/>
      <c r="F181" s="29" t="n"/>
      <c r="G181" s="29" t="n"/>
      <c r="I181" s="156" t="n"/>
      <c r="L181" s="33" t="n"/>
      <c r="M181" s="34" t="n"/>
      <c r="O181" s="34" t="n"/>
      <c r="P181" s="119" t="n"/>
      <c r="Q181" s="34" t="n"/>
      <c r="R181" s="119" t="n"/>
      <c r="T181" s="119" t="n"/>
      <c r="U181" s="34" t="n"/>
      <c r="V181" s="119" t="n"/>
    </row>
    <row r="182" ht="15" customFormat="1" customHeight="1" s="116">
      <c r="B182" s="117" t="n"/>
      <c r="C182" s="157" t="n"/>
      <c r="D182" s="28" t="n"/>
      <c r="E182" s="29" t="n"/>
      <c r="F182" s="29" t="n"/>
      <c r="G182" s="29" t="n"/>
      <c r="I182" s="156" t="n"/>
      <c r="L182" s="33" t="n"/>
      <c r="M182" s="34" t="n"/>
      <c r="O182" s="34" t="n"/>
      <c r="P182" s="119" t="n"/>
      <c r="Q182" s="34" t="n"/>
      <c r="R182" s="119" t="n"/>
      <c r="T182" s="119" t="n"/>
      <c r="U182" s="34" t="n"/>
      <c r="V182" s="119" t="n"/>
    </row>
    <row r="183" ht="15" customFormat="1" customHeight="1" s="116">
      <c r="B183" s="117" t="n"/>
      <c r="C183" s="157" t="n"/>
      <c r="D183" s="28" t="n"/>
      <c r="E183" s="29" t="n"/>
      <c r="F183" s="29" t="n"/>
      <c r="G183" s="29" t="n"/>
      <c r="I183" s="156" t="n"/>
      <c r="L183" s="33" t="n"/>
      <c r="M183" s="34" t="n"/>
      <c r="O183" s="34" t="n"/>
      <c r="P183" s="119" t="n"/>
      <c r="Q183" s="34" t="n"/>
      <c r="R183" s="119" t="n"/>
      <c r="T183" s="119" t="n"/>
      <c r="U183" s="34" t="n"/>
      <c r="V183" s="119" t="n"/>
    </row>
    <row r="184" ht="15" customFormat="1" customHeight="1" s="116">
      <c r="B184" s="117" t="n"/>
      <c r="C184" s="157" t="n"/>
      <c r="D184" s="28" t="n"/>
      <c r="E184" s="29" t="n"/>
      <c r="F184" s="29" t="n"/>
      <c r="G184" s="29" t="n"/>
      <c r="I184" s="156" t="n"/>
      <c r="L184" s="33" t="n"/>
      <c r="M184" s="34" t="n"/>
      <c r="O184" s="34" t="n"/>
      <c r="P184" s="119" t="n"/>
      <c r="Q184" s="34" t="n"/>
      <c r="R184" s="119" t="n"/>
      <c r="T184" s="119" t="n"/>
      <c r="U184" s="34" t="n"/>
      <c r="V184" s="119" t="n"/>
    </row>
    <row r="185" ht="15" customFormat="1" customHeight="1" s="116">
      <c r="B185" s="117" t="n"/>
      <c r="C185" s="157" t="n"/>
      <c r="D185" s="28" t="n"/>
      <c r="E185" s="29" t="n"/>
      <c r="F185" s="29" t="n"/>
      <c r="G185" s="29" t="n"/>
      <c r="I185" s="156" t="n"/>
      <c r="L185" s="33" t="n"/>
      <c r="M185" s="34" t="n"/>
      <c r="O185" s="34" t="n"/>
      <c r="P185" s="119" t="n"/>
      <c r="Q185" s="34" t="n"/>
      <c r="R185" s="119" t="n"/>
      <c r="T185" s="119" t="n"/>
      <c r="U185" s="34" t="n"/>
      <c r="V185" s="119" t="n"/>
    </row>
    <row r="186" ht="15" customFormat="1" customHeight="1" s="116">
      <c r="B186" s="117" t="n"/>
      <c r="C186" s="157" t="n"/>
      <c r="D186" s="28" t="n"/>
      <c r="E186" s="29" t="n"/>
      <c r="F186" s="29" t="n"/>
      <c r="G186" s="29" t="n"/>
      <c r="I186" s="156" t="n"/>
      <c r="L186" s="33" t="n"/>
      <c r="M186" s="34" t="n"/>
      <c r="O186" s="34" t="n"/>
      <c r="P186" s="119" t="n"/>
      <c r="Q186" s="34" t="n"/>
      <c r="R186" s="119" t="n"/>
      <c r="T186" s="119" t="n"/>
      <c r="U186" s="34" t="n"/>
      <c r="V186" s="119" t="n"/>
    </row>
    <row r="187" ht="15" customFormat="1" customHeight="1" s="116">
      <c r="B187" s="117" t="n"/>
      <c r="C187" s="157" t="n"/>
      <c r="D187" s="28" t="n"/>
      <c r="E187" s="29" t="n"/>
      <c r="F187" s="29" t="n"/>
      <c r="G187" s="29" t="n"/>
      <c r="I187" s="156" t="n"/>
      <c r="L187" s="33" t="n"/>
      <c r="M187" s="34" t="n"/>
      <c r="O187" s="34" t="n"/>
      <c r="P187" s="119" t="n"/>
      <c r="Q187" s="34" t="n"/>
      <c r="R187" s="119" t="n"/>
      <c r="T187" s="119" t="n"/>
      <c r="U187" s="34" t="n"/>
      <c r="V187" s="119" t="n"/>
    </row>
    <row r="188" ht="15" customFormat="1" customHeight="1" s="116">
      <c r="B188" s="117" t="n"/>
      <c r="C188" s="157" t="n"/>
      <c r="D188" s="28" t="n"/>
      <c r="E188" s="29" t="n"/>
      <c r="F188" s="29" t="n"/>
      <c r="G188" s="29" t="n"/>
      <c r="I188" s="156" t="n"/>
      <c r="L188" s="33" t="n"/>
      <c r="M188" s="34" t="n"/>
      <c r="O188" s="34" t="n"/>
      <c r="P188" s="119" t="n"/>
      <c r="Q188" s="34" t="n"/>
      <c r="R188" s="119" t="n"/>
      <c r="T188" s="119" t="n"/>
      <c r="U188" s="34" t="n"/>
      <c r="V188" s="119" t="n"/>
    </row>
    <row r="189" ht="15" customFormat="1" customHeight="1" s="116">
      <c r="B189" s="117" t="n"/>
      <c r="C189" s="157" t="n"/>
      <c r="D189" s="28" t="n"/>
      <c r="E189" s="29" t="n"/>
      <c r="F189" s="29" t="n"/>
      <c r="G189" s="29" t="n"/>
      <c r="I189" s="156" t="n"/>
      <c r="L189" s="33" t="n"/>
      <c r="M189" s="34" t="n"/>
      <c r="O189" s="34" t="n"/>
      <c r="P189" s="119" t="n"/>
      <c r="Q189" s="34" t="n"/>
      <c r="R189" s="119" t="n"/>
      <c r="T189" s="119" t="n"/>
      <c r="U189" s="34" t="n"/>
      <c r="V189" s="119" t="n"/>
    </row>
    <row r="190" ht="15" customFormat="1" customHeight="1" s="116">
      <c r="B190" s="117" t="n"/>
      <c r="C190" s="157" t="n"/>
      <c r="D190" s="28" t="n"/>
      <c r="E190" s="29" t="n"/>
      <c r="F190" s="29" t="n"/>
      <c r="G190" s="29" t="n"/>
      <c r="I190" s="156" t="n"/>
      <c r="L190" s="33" t="n"/>
      <c r="M190" s="34" t="n"/>
      <c r="O190" s="34" t="n"/>
      <c r="P190" s="119" t="n"/>
      <c r="Q190" s="34" t="n"/>
      <c r="R190" s="119" t="n"/>
      <c r="T190" s="119" t="n"/>
      <c r="U190" s="34" t="n"/>
      <c r="V190" s="119" t="n"/>
    </row>
    <row r="191" ht="15" customFormat="1" customHeight="1" s="116">
      <c r="B191" s="117" t="n"/>
      <c r="C191" s="157" t="n"/>
      <c r="D191" s="28" t="n"/>
      <c r="E191" s="29" t="n"/>
      <c r="F191" s="29" t="n"/>
      <c r="G191" s="29" t="n"/>
      <c r="I191" s="156" t="n"/>
      <c r="L191" s="33" t="n"/>
      <c r="M191" s="34" t="n"/>
      <c r="O191" s="34" t="n"/>
      <c r="P191" s="119" t="n"/>
      <c r="Q191" s="34" t="n"/>
      <c r="R191" s="119" t="n"/>
      <c r="T191" s="119" t="n"/>
      <c r="U191" s="34" t="n"/>
      <c r="V191" s="119" t="n"/>
    </row>
    <row r="192" ht="15" customFormat="1" customHeight="1" s="116">
      <c r="B192" s="117" t="n"/>
      <c r="C192" s="157" t="n"/>
      <c r="D192" s="28" t="n"/>
      <c r="E192" s="29" t="n"/>
      <c r="F192" s="29" t="n"/>
      <c r="G192" s="29" t="n"/>
      <c r="I192" s="156" t="n"/>
      <c r="L192" s="33" t="n"/>
      <c r="M192" s="34" t="n"/>
      <c r="O192" s="34" t="n"/>
      <c r="P192" s="119" t="n"/>
      <c r="Q192" s="34" t="n"/>
      <c r="R192" s="119" t="n"/>
      <c r="T192" s="119" t="n"/>
      <c r="U192" s="34" t="n"/>
      <c r="V192" s="119" t="n"/>
    </row>
    <row r="193" ht="15" customFormat="1" customHeight="1" s="116">
      <c r="B193" s="117" t="n"/>
      <c r="C193" s="157" t="n"/>
      <c r="D193" s="28" t="n"/>
      <c r="E193" s="29" t="n"/>
      <c r="F193" s="29" t="n"/>
      <c r="G193" s="29" t="n"/>
      <c r="I193" s="156" t="n"/>
      <c r="L193" s="33" t="n"/>
      <c r="M193" s="34" t="n"/>
      <c r="O193" s="34" t="n"/>
      <c r="P193" s="119" t="n"/>
      <c r="Q193" s="34" t="n"/>
      <c r="R193" s="119" t="n"/>
      <c r="T193" s="119" t="n"/>
      <c r="U193" s="34" t="n"/>
      <c r="V193" s="119" t="n"/>
    </row>
    <row r="194" ht="15" customFormat="1" customHeight="1" s="116">
      <c r="B194" s="117" t="n"/>
      <c r="C194" s="157" t="n"/>
      <c r="D194" s="28" t="n"/>
      <c r="E194" s="29" t="n"/>
      <c r="F194" s="29" t="n"/>
      <c r="G194" s="29" t="n"/>
      <c r="I194" s="156" t="n"/>
      <c r="L194" s="33" t="n"/>
      <c r="M194" s="34" t="n"/>
      <c r="O194" s="34" t="n"/>
      <c r="P194" s="119" t="n"/>
      <c r="Q194" s="34" t="n"/>
      <c r="R194" s="119" t="n"/>
      <c r="T194" s="119" t="n"/>
      <c r="U194" s="34" t="n"/>
      <c r="V194" s="119" t="n"/>
    </row>
    <row r="195" ht="15" customFormat="1" customHeight="1" s="116">
      <c r="B195" s="117" t="n"/>
      <c r="C195" s="157" t="n"/>
      <c r="D195" s="28" t="n"/>
      <c r="E195" s="29" t="n"/>
      <c r="F195" s="29" t="n"/>
      <c r="G195" s="29" t="n"/>
      <c r="I195" s="156" t="n"/>
      <c r="L195" s="33" t="n"/>
      <c r="M195" s="34" t="n"/>
      <c r="O195" s="34" t="n"/>
      <c r="P195" s="119" t="n"/>
      <c r="Q195" s="34" t="n"/>
      <c r="R195" s="119" t="n"/>
      <c r="T195" s="119" t="n"/>
      <c r="U195" s="34" t="n"/>
      <c r="V195" s="119" t="n"/>
    </row>
    <row r="196" ht="15" customFormat="1" customHeight="1" s="116">
      <c r="B196" s="117" t="n"/>
      <c r="C196" s="157" t="n"/>
      <c r="D196" s="28" t="n"/>
      <c r="E196" s="29" t="n"/>
      <c r="F196" s="29" t="n"/>
      <c r="G196" s="29" t="n"/>
      <c r="I196" s="156" t="n"/>
      <c r="L196" s="33" t="n"/>
      <c r="M196" s="34" t="n"/>
      <c r="O196" s="34" t="n"/>
      <c r="P196" s="119" t="n"/>
      <c r="Q196" s="34" t="n"/>
      <c r="R196" s="119" t="n"/>
      <c r="T196" s="119" t="n"/>
      <c r="U196" s="34" t="n"/>
      <c r="V196" s="119" t="n"/>
    </row>
    <row r="197" ht="15" customFormat="1" customHeight="1" s="116">
      <c r="B197" s="117" t="n"/>
      <c r="C197" s="157" t="n"/>
      <c r="D197" s="28" t="n"/>
      <c r="E197" s="29" t="n"/>
      <c r="F197" s="29" t="n"/>
      <c r="G197" s="29" t="n"/>
      <c r="I197" s="156" t="n"/>
      <c r="L197" s="33" t="n"/>
      <c r="M197" s="34" t="n"/>
      <c r="O197" s="34" t="n"/>
      <c r="P197" s="119" t="n"/>
      <c r="Q197" s="34" t="n"/>
      <c r="R197" s="119" t="n"/>
      <c r="T197" s="119" t="n"/>
      <c r="U197" s="34" t="n"/>
      <c r="V197" s="119" t="n"/>
    </row>
    <row r="198" ht="15" customFormat="1" customHeight="1" s="116">
      <c r="B198" s="117" t="n"/>
      <c r="C198" s="157" t="n"/>
      <c r="D198" s="28" t="n"/>
      <c r="E198" s="29" t="n"/>
      <c r="F198" s="29" t="n"/>
      <c r="G198" s="29" t="n"/>
      <c r="I198" s="156" t="n"/>
      <c r="L198" s="33" t="n"/>
      <c r="M198" s="34" t="n"/>
      <c r="O198" s="34" t="n"/>
      <c r="P198" s="119" t="n"/>
      <c r="Q198" s="34" t="n"/>
      <c r="R198" s="119" t="n"/>
      <c r="T198" s="119" t="n"/>
      <c r="U198" s="34" t="n"/>
      <c r="V198" s="119" t="n"/>
    </row>
    <row r="199" ht="15" customFormat="1" customHeight="1" s="116">
      <c r="B199" s="117" t="n"/>
      <c r="C199" s="157" t="n"/>
      <c r="D199" s="28" t="n"/>
      <c r="E199" s="29" t="n"/>
      <c r="F199" s="29" t="n"/>
      <c r="G199" s="29" t="n"/>
      <c r="I199" s="156" t="n"/>
      <c r="L199" s="33" t="n"/>
      <c r="M199" s="34" t="n"/>
      <c r="O199" s="34" t="n"/>
      <c r="P199" s="119" t="n"/>
      <c r="Q199" s="34" t="n"/>
      <c r="R199" s="119" t="n"/>
      <c r="T199" s="119" t="n"/>
      <c r="U199" s="34" t="n"/>
      <c r="V199" s="119" t="n"/>
    </row>
    <row r="200" ht="15" customFormat="1" customHeight="1" s="116">
      <c r="B200" s="117" t="n"/>
      <c r="C200" s="157" t="n"/>
      <c r="D200" s="28" t="n"/>
      <c r="E200" s="29" t="n"/>
      <c r="F200" s="29" t="n"/>
      <c r="G200" s="29" t="n"/>
      <c r="I200" s="156" t="n"/>
      <c r="L200" s="33" t="n"/>
      <c r="M200" s="34" t="n"/>
      <c r="O200" s="34" t="n"/>
      <c r="P200" s="119" t="n"/>
      <c r="Q200" s="34" t="n"/>
      <c r="R200" s="119" t="n"/>
      <c r="T200" s="119" t="n"/>
      <c r="U200" s="34" t="n"/>
      <c r="V200" s="119" t="n"/>
    </row>
    <row r="201" ht="15" customFormat="1" customHeight="1" s="116">
      <c r="B201" s="117" t="n"/>
      <c r="C201" s="157" t="n"/>
      <c r="D201" s="28" t="n"/>
      <c r="E201" s="29" t="n"/>
      <c r="F201" s="29" t="n"/>
      <c r="G201" s="29" t="n"/>
      <c r="I201" s="156" t="n"/>
      <c r="L201" s="33" t="n"/>
      <c r="M201" s="34" t="n"/>
      <c r="O201" s="34" t="n"/>
      <c r="P201" s="119" t="n"/>
      <c r="Q201" s="34" t="n"/>
      <c r="R201" s="119" t="n"/>
      <c r="T201" s="119" t="n"/>
      <c r="U201" s="34" t="n"/>
      <c r="V201" s="119" t="n"/>
    </row>
    <row r="202" ht="15" customFormat="1" customHeight="1" s="116">
      <c r="B202" s="117" t="n"/>
      <c r="C202" s="157" t="n"/>
      <c r="D202" s="28" t="n"/>
      <c r="E202" s="29" t="n"/>
      <c r="F202" s="29" t="n"/>
      <c r="G202" s="29" t="n"/>
      <c r="I202" s="156" t="n"/>
      <c r="L202" s="33" t="n"/>
      <c r="M202" s="34" t="n"/>
      <c r="O202" s="34" t="n"/>
      <c r="P202" s="119" t="n"/>
      <c r="Q202" s="34" t="n"/>
      <c r="R202" s="119" t="n"/>
      <c r="T202" s="119" t="n"/>
      <c r="U202" s="34" t="n"/>
      <c r="V202" s="119" t="n"/>
    </row>
    <row r="203" ht="15" customFormat="1" customHeight="1" s="116">
      <c r="B203" s="117" t="n"/>
      <c r="C203" s="157" t="n"/>
      <c r="D203" s="28" t="n"/>
      <c r="E203" s="29" t="n"/>
      <c r="F203" s="29" t="n"/>
      <c r="G203" s="29" t="n"/>
      <c r="I203" s="156" t="n"/>
      <c r="L203" s="33" t="n"/>
      <c r="M203" s="34" t="n"/>
      <c r="O203" s="34" t="n"/>
      <c r="P203" s="119" t="n"/>
      <c r="Q203" s="34" t="n"/>
      <c r="R203" s="119" t="n"/>
      <c r="T203" s="119" t="n"/>
      <c r="U203" s="34" t="n"/>
      <c r="V203" s="119" t="n"/>
    </row>
    <row r="204" ht="15" customFormat="1" customHeight="1" s="116">
      <c r="B204" s="117" t="n"/>
      <c r="C204" s="157" t="n"/>
      <c r="D204" s="28" t="n"/>
      <c r="E204" s="29" t="n"/>
      <c r="F204" s="29" t="n"/>
      <c r="G204" s="29" t="n"/>
      <c r="I204" s="156" t="n"/>
      <c r="L204" s="33" t="n"/>
      <c r="M204" s="34" t="n"/>
      <c r="O204" s="34" t="n"/>
      <c r="P204" s="119" t="n"/>
      <c r="Q204" s="34" t="n"/>
      <c r="R204" s="119" t="n"/>
      <c r="T204" s="119" t="n"/>
      <c r="U204" s="34" t="n"/>
      <c r="V204" s="119" t="n"/>
    </row>
    <row r="205" ht="15" customFormat="1" customHeight="1" s="116">
      <c r="B205" s="117" t="n"/>
      <c r="C205" s="157" t="n"/>
      <c r="D205" s="28" t="n"/>
      <c r="E205" s="29" t="n"/>
      <c r="F205" s="29" t="n"/>
      <c r="G205" s="29" t="n"/>
      <c r="I205" s="156" t="n"/>
      <c r="L205" s="33" t="n"/>
      <c r="M205" s="34" t="n"/>
      <c r="O205" s="34" t="n"/>
      <c r="P205" s="119" t="n"/>
      <c r="Q205" s="34" t="n"/>
      <c r="R205" s="119" t="n"/>
      <c r="T205" s="119" t="n"/>
      <c r="U205" s="34" t="n"/>
      <c r="V205" s="119" t="n"/>
    </row>
    <row r="206" ht="15" customFormat="1" customHeight="1" s="116">
      <c r="B206" s="117" t="n"/>
      <c r="C206" s="157" t="n"/>
      <c r="D206" s="28" t="n"/>
      <c r="E206" s="29" t="n"/>
      <c r="F206" s="29" t="n"/>
      <c r="G206" s="29" t="n"/>
      <c r="I206" s="156" t="n"/>
      <c r="L206" s="33" t="n"/>
      <c r="M206" s="34" t="n"/>
      <c r="O206" s="34" t="n"/>
      <c r="P206" s="119" t="n"/>
      <c r="Q206" s="34" t="n"/>
      <c r="R206" s="119" t="n"/>
      <c r="T206" s="119" t="n"/>
      <c r="U206" s="34" t="n"/>
      <c r="V206" s="119" t="n"/>
    </row>
    <row r="207" ht="15" customFormat="1" customHeight="1" s="116">
      <c r="B207" s="117" t="n"/>
      <c r="C207" s="157" t="n"/>
      <c r="D207" s="28" t="n"/>
      <c r="E207" s="29" t="n"/>
      <c r="F207" s="29" t="n"/>
      <c r="G207" s="29" t="n"/>
      <c r="I207" s="156" t="n"/>
      <c r="L207" s="33" t="n"/>
      <c r="M207" s="34" t="n"/>
      <c r="O207" s="34" t="n"/>
      <c r="P207" s="119" t="n"/>
      <c r="Q207" s="34" t="n"/>
      <c r="R207" s="119" t="n"/>
      <c r="T207" s="119" t="n"/>
      <c r="U207" s="34" t="n"/>
      <c r="V207" s="119" t="n"/>
    </row>
    <row r="208" ht="15" customFormat="1" customHeight="1" s="116">
      <c r="B208" s="117" t="n"/>
      <c r="C208" s="157" t="n"/>
      <c r="D208" s="28" t="n"/>
      <c r="E208" s="29" t="n"/>
      <c r="F208" s="29" t="n"/>
      <c r="G208" s="29" t="n"/>
      <c r="I208" s="156" t="n"/>
      <c r="L208" s="33" t="n"/>
      <c r="M208" s="34" t="n"/>
      <c r="O208" s="34" t="n"/>
      <c r="P208" s="119" t="n"/>
      <c r="Q208" s="34" t="n"/>
      <c r="R208" s="119" t="n"/>
      <c r="T208" s="119" t="n"/>
      <c r="U208" s="34" t="n"/>
      <c r="V208" s="119" t="n"/>
    </row>
    <row r="209" ht="15" customFormat="1" customHeight="1" s="116">
      <c r="B209" s="117" t="n"/>
      <c r="C209" s="157" t="n"/>
      <c r="D209" s="28" t="n"/>
      <c r="E209" s="29" t="n"/>
      <c r="F209" s="29" t="n"/>
      <c r="G209" s="29" t="n"/>
      <c r="I209" s="156" t="n"/>
      <c r="L209" s="33" t="n"/>
      <c r="M209" s="34" t="n"/>
      <c r="O209" s="34" t="n"/>
      <c r="P209" s="119" t="n"/>
      <c r="Q209" s="34" t="n"/>
      <c r="R209" s="119" t="n"/>
      <c r="T209" s="119" t="n"/>
      <c r="U209" s="34" t="n"/>
      <c r="V209" s="119" t="n"/>
    </row>
    <row r="210" ht="15" customFormat="1" customHeight="1" s="116">
      <c r="B210" s="117" t="n"/>
      <c r="C210" s="157" t="n"/>
      <c r="D210" s="28" t="n"/>
      <c r="E210" s="29" t="n"/>
      <c r="F210" s="29" t="n"/>
      <c r="G210" s="29" t="n"/>
      <c r="I210" s="156" t="n"/>
      <c r="L210" s="33" t="n"/>
      <c r="M210" s="34" t="n"/>
      <c r="O210" s="34" t="n"/>
      <c r="P210" s="119" t="n"/>
      <c r="Q210" s="34" t="n"/>
      <c r="R210" s="119" t="n"/>
      <c r="T210" s="119" t="n"/>
      <c r="U210" s="34" t="n"/>
      <c r="V210" s="119" t="n"/>
    </row>
    <row r="211" ht="15" customFormat="1" customHeight="1" s="116">
      <c r="B211" s="117" t="n"/>
      <c r="C211" s="157" t="n"/>
      <c r="D211" s="28" t="n"/>
      <c r="E211" s="29" t="n"/>
      <c r="F211" s="29" t="n"/>
      <c r="G211" s="29" t="n"/>
      <c r="I211" s="156" t="n"/>
      <c r="L211" s="33" t="n"/>
      <c r="M211" s="34" t="n"/>
      <c r="O211" s="34" t="n"/>
      <c r="P211" s="119" t="n"/>
      <c r="Q211" s="34" t="n"/>
      <c r="R211" s="119" t="n"/>
      <c r="T211" s="119" t="n"/>
      <c r="U211" s="34" t="n"/>
      <c r="V211" s="119" t="n"/>
    </row>
    <row r="212" ht="15" customFormat="1" customHeight="1" s="116">
      <c r="B212" s="117" t="n"/>
      <c r="C212" s="157" t="n"/>
      <c r="D212" s="28" t="n"/>
      <c r="E212" s="29" t="n"/>
      <c r="F212" s="29" t="n"/>
      <c r="G212" s="29" t="n"/>
      <c r="I212" s="156" t="n"/>
      <c r="L212" s="33" t="n"/>
      <c r="M212" s="34" t="n"/>
      <c r="O212" s="34" t="n"/>
      <c r="P212" s="119" t="n"/>
      <c r="Q212" s="34" t="n"/>
      <c r="R212" s="119" t="n"/>
      <c r="T212" s="119" t="n"/>
      <c r="U212" s="34" t="n"/>
      <c r="V212" s="119" t="n"/>
    </row>
    <row r="213" ht="15" customFormat="1" customHeight="1" s="116">
      <c r="B213" s="117" t="n"/>
      <c r="C213" s="157" t="n"/>
      <c r="D213" s="28" t="n"/>
      <c r="E213" s="29" t="n"/>
      <c r="F213" s="29" t="n"/>
      <c r="G213" s="29" t="n"/>
      <c r="I213" s="156" t="n"/>
      <c r="L213" s="33" t="n"/>
      <c r="M213" s="34" t="n"/>
      <c r="O213" s="34" t="n"/>
      <c r="P213" s="119" t="n"/>
      <c r="Q213" s="34" t="n"/>
      <c r="R213" s="119" t="n"/>
      <c r="T213" s="119" t="n"/>
      <c r="U213" s="34" t="n"/>
      <c r="V213" s="119" t="n"/>
    </row>
    <row r="214" ht="15" customFormat="1" customHeight="1" s="116">
      <c r="B214" s="117" t="n"/>
      <c r="C214" s="157" t="n"/>
      <c r="D214" s="28" t="n"/>
      <c r="E214" s="29" t="n"/>
      <c r="F214" s="29" t="n"/>
      <c r="G214" s="29" t="n"/>
      <c r="I214" s="156" t="n"/>
      <c r="L214" s="33" t="n"/>
      <c r="M214" s="34" t="n"/>
      <c r="O214" s="34" t="n"/>
      <c r="P214" s="119" t="n"/>
      <c r="Q214" s="34" t="n"/>
      <c r="R214" s="119" t="n"/>
      <c r="T214" s="119" t="n"/>
      <c r="U214" s="34" t="n"/>
      <c r="V214" s="119" t="n"/>
    </row>
    <row r="215" ht="15" customFormat="1" customHeight="1" s="116">
      <c r="B215" s="117" t="n"/>
      <c r="C215" s="157" t="n"/>
      <c r="D215" s="28" t="n"/>
      <c r="E215" s="29" t="n"/>
      <c r="F215" s="29" t="n"/>
      <c r="G215" s="29" t="n"/>
      <c r="I215" s="156" t="n"/>
      <c r="L215" s="33" t="n"/>
      <c r="M215" s="34" t="n"/>
      <c r="O215" s="34" t="n"/>
      <c r="P215" s="119" t="n"/>
      <c r="Q215" s="34" t="n"/>
      <c r="R215" s="119" t="n"/>
      <c r="T215" s="119" t="n"/>
      <c r="U215" s="34" t="n"/>
      <c r="V215" s="119" t="n"/>
    </row>
    <row r="216" ht="15" customFormat="1" customHeight="1" s="116">
      <c r="B216" s="117" t="n"/>
      <c r="C216" s="157" t="n"/>
      <c r="D216" s="28" t="n"/>
      <c r="E216" s="29" t="n"/>
      <c r="F216" s="29" t="n"/>
      <c r="G216" s="29" t="n"/>
      <c r="I216" s="156" t="n"/>
      <c r="L216" s="33" t="n"/>
      <c r="M216" s="34" t="n"/>
      <c r="O216" s="34" t="n"/>
      <c r="P216" s="119" t="n"/>
      <c r="Q216" s="34" t="n"/>
      <c r="R216" s="119" t="n"/>
      <c r="T216" s="119" t="n"/>
      <c r="U216" s="34" t="n"/>
      <c r="V216" s="119" t="n"/>
    </row>
    <row r="217" ht="15" customFormat="1" customHeight="1" s="116">
      <c r="B217" s="117" t="n"/>
      <c r="C217" s="157" t="n"/>
      <c r="D217" s="28" t="n"/>
      <c r="E217" s="29" t="n"/>
      <c r="F217" s="29" t="n"/>
      <c r="G217" s="29" t="n"/>
      <c r="I217" s="156" t="n"/>
      <c r="L217" s="33" t="n"/>
      <c r="M217" s="34" t="n"/>
      <c r="O217" s="34" t="n"/>
      <c r="P217" s="119" t="n"/>
      <c r="Q217" s="34" t="n"/>
      <c r="R217" s="119" t="n"/>
      <c r="T217" s="119" t="n"/>
      <c r="U217" s="34" t="n"/>
      <c r="V217" s="119" t="n"/>
    </row>
    <row r="218" ht="15" customFormat="1" customHeight="1" s="116">
      <c r="B218" s="117" t="n"/>
      <c r="C218" s="157" t="n"/>
      <c r="D218" s="28" t="n"/>
      <c r="E218" s="29" t="n"/>
      <c r="F218" s="29" t="n"/>
      <c r="G218" s="29" t="n"/>
      <c r="I218" s="156" t="n"/>
      <c r="L218" s="33" t="n"/>
      <c r="M218" s="34" t="n"/>
      <c r="O218" s="34" t="n"/>
      <c r="P218" s="119" t="n"/>
      <c r="Q218" s="34" t="n"/>
      <c r="R218" s="119" t="n"/>
      <c r="T218" s="119" t="n"/>
      <c r="U218" s="34" t="n"/>
      <c r="V218" s="119" t="n"/>
    </row>
    <row r="219" ht="15" customFormat="1" customHeight="1" s="116">
      <c r="B219" s="117" t="n"/>
      <c r="C219" s="157" t="n"/>
      <c r="D219" s="28" t="n"/>
      <c r="E219" s="29" t="n"/>
      <c r="F219" s="29" t="n"/>
      <c r="G219" s="29" t="n"/>
      <c r="I219" s="156" t="n"/>
      <c r="L219" s="33" t="n"/>
      <c r="M219" s="34" t="n"/>
      <c r="O219" s="34" t="n"/>
      <c r="P219" s="119" t="n"/>
      <c r="Q219" s="34" t="n"/>
      <c r="R219" s="119" t="n"/>
      <c r="T219" s="119" t="n"/>
      <c r="U219" s="34" t="n"/>
      <c r="V219" s="119" t="n"/>
    </row>
    <row r="220" ht="15" customFormat="1" customHeight="1" s="116">
      <c r="B220" s="117" t="n"/>
      <c r="C220" s="157" t="n"/>
      <c r="D220" s="28" t="n"/>
      <c r="E220" s="29" t="n"/>
      <c r="F220" s="29" t="n"/>
      <c r="G220" s="29" t="n"/>
      <c r="I220" s="156" t="n"/>
      <c r="L220" s="33" t="n"/>
      <c r="M220" s="34" t="n"/>
      <c r="O220" s="34" t="n"/>
      <c r="P220" s="119" t="n"/>
      <c r="Q220" s="34" t="n"/>
      <c r="R220" s="119" t="n"/>
      <c r="T220" s="119" t="n"/>
      <c r="U220" s="34" t="n"/>
      <c r="V220" s="119" t="n"/>
    </row>
    <row r="221" ht="15" customFormat="1" customHeight="1" s="116">
      <c r="B221" s="117" t="n"/>
      <c r="C221" s="157" t="n"/>
      <c r="D221" s="28" t="n"/>
      <c r="E221" s="29" t="n"/>
      <c r="F221" s="29" t="n"/>
      <c r="G221" s="29" t="n"/>
      <c r="I221" s="156" t="n"/>
      <c r="L221" s="33" t="n"/>
      <c r="M221" s="34" t="n"/>
      <c r="O221" s="34" t="n"/>
      <c r="P221" s="119" t="n"/>
      <c r="Q221" s="34" t="n"/>
      <c r="R221" s="119" t="n"/>
      <c r="T221" s="119" t="n"/>
      <c r="U221" s="34" t="n"/>
      <c r="V221" s="119" t="n"/>
    </row>
    <row r="222" ht="15" customFormat="1" customHeight="1" s="116">
      <c r="B222" s="117" t="n"/>
      <c r="C222" s="157" t="n"/>
      <c r="D222" s="28" t="n"/>
      <c r="E222" s="29" t="n"/>
      <c r="F222" s="29" t="n"/>
      <c r="G222" s="29" t="n"/>
      <c r="I222" s="156" t="n"/>
      <c r="L222" s="33" t="n"/>
      <c r="M222" s="34" t="n"/>
      <c r="O222" s="34" t="n"/>
      <c r="P222" s="119" t="n"/>
      <c r="Q222" s="34" t="n"/>
      <c r="R222" s="119" t="n"/>
      <c r="T222" s="119" t="n"/>
      <c r="U222" s="34" t="n"/>
      <c r="V222" s="119" t="n"/>
    </row>
    <row r="223" ht="15" customFormat="1" customHeight="1" s="116">
      <c r="B223" s="117" t="n"/>
      <c r="C223" s="157" t="n"/>
      <c r="D223" s="28" t="n"/>
      <c r="E223" s="29" t="n"/>
      <c r="F223" s="29" t="n"/>
      <c r="G223" s="29" t="n"/>
      <c r="I223" s="156" t="n"/>
      <c r="L223" s="33" t="n"/>
      <c r="M223" s="34" t="n"/>
      <c r="O223" s="34" t="n"/>
      <c r="P223" s="119" t="n"/>
      <c r="Q223" s="34" t="n"/>
      <c r="R223" s="119" t="n"/>
      <c r="T223" s="119" t="n"/>
      <c r="U223" s="34" t="n"/>
      <c r="V223" s="119" t="n"/>
    </row>
    <row r="224" ht="15" customFormat="1" customHeight="1" s="116">
      <c r="B224" s="117" t="n"/>
      <c r="C224" s="157" t="n"/>
      <c r="D224" s="28" t="n"/>
      <c r="E224" s="29" t="n"/>
      <c r="F224" s="29" t="n"/>
      <c r="G224" s="29" t="n"/>
      <c r="I224" s="156" t="n"/>
      <c r="L224" s="33" t="n"/>
      <c r="M224" s="34" t="n"/>
      <c r="O224" s="34" t="n"/>
      <c r="P224" s="119" t="n"/>
      <c r="Q224" s="34" t="n"/>
      <c r="R224" s="119" t="n"/>
      <c r="T224" s="119" t="n"/>
      <c r="U224" s="34" t="n"/>
      <c r="V224" s="119" t="n"/>
    </row>
    <row r="225" ht="15" customFormat="1" customHeight="1" s="116">
      <c r="B225" s="117" t="n"/>
      <c r="C225" s="157" t="n"/>
      <c r="D225" s="28" t="n"/>
      <c r="E225" s="29" t="n"/>
      <c r="F225" s="29" t="n"/>
      <c r="G225" s="29" t="n"/>
      <c r="I225" s="156" t="n"/>
      <c r="L225" s="33" t="n"/>
      <c r="M225" s="34" t="n"/>
      <c r="O225" s="34" t="n"/>
      <c r="P225" s="119" t="n"/>
      <c r="Q225" s="34" t="n"/>
      <c r="R225" s="119" t="n"/>
      <c r="T225" s="119" t="n"/>
      <c r="U225" s="34" t="n"/>
      <c r="V225" s="119" t="n"/>
    </row>
    <row r="226" ht="15" customFormat="1" customHeight="1" s="116">
      <c r="B226" s="117" t="n"/>
      <c r="C226" s="157" t="n"/>
      <c r="D226" s="28" t="n"/>
      <c r="E226" s="29" t="n"/>
      <c r="F226" s="29" t="n"/>
      <c r="G226" s="29" t="n"/>
      <c r="I226" s="156" t="n"/>
      <c r="L226" s="33" t="n"/>
      <c r="M226" s="34" t="n"/>
      <c r="O226" s="34" t="n"/>
      <c r="P226" s="119" t="n"/>
      <c r="Q226" s="34" t="n"/>
      <c r="R226" s="119" t="n"/>
      <c r="T226" s="119" t="n"/>
      <c r="U226" s="34" t="n"/>
      <c r="V226" s="119" t="n"/>
    </row>
    <row r="227" ht="15" customFormat="1" customHeight="1" s="116">
      <c r="B227" s="117" t="n"/>
      <c r="C227" s="157" t="n"/>
      <c r="D227" s="28" t="n"/>
      <c r="E227" s="29" t="n"/>
      <c r="F227" s="29" t="n"/>
      <c r="G227" s="29" t="n"/>
      <c r="I227" s="156" t="n"/>
      <c r="L227" s="33" t="n"/>
      <c r="M227" s="34" t="n"/>
      <c r="O227" s="34" t="n"/>
      <c r="P227" s="119" t="n"/>
      <c r="Q227" s="34" t="n"/>
      <c r="R227" s="119" t="n"/>
      <c r="T227" s="119" t="n"/>
      <c r="U227" s="34" t="n"/>
      <c r="V227" s="119" t="n"/>
    </row>
    <row r="228" ht="15" customFormat="1" customHeight="1" s="116">
      <c r="B228" s="117" t="n"/>
      <c r="C228" s="157" t="n"/>
      <c r="D228" s="28" t="n"/>
      <c r="E228" s="29" t="n"/>
      <c r="F228" s="29" t="n"/>
      <c r="G228" s="29" t="n"/>
      <c r="I228" s="156" t="n"/>
      <c r="L228" s="33" t="n"/>
      <c r="M228" s="34" t="n"/>
      <c r="O228" s="34" t="n"/>
      <c r="P228" s="119" t="n"/>
      <c r="Q228" s="34" t="n"/>
      <c r="R228" s="119" t="n"/>
      <c r="T228" s="119" t="n"/>
      <c r="U228" s="34" t="n"/>
      <c r="V228" s="119" t="n"/>
    </row>
    <row r="229" ht="15" customFormat="1" customHeight="1" s="116">
      <c r="B229" s="117" t="n"/>
      <c r="C229" s="157" t="n"/>
      <c r="D229" s="28" t="n"/>
      <c r="E229" s="29" t="n"/>
      <c r="F229" s="29" t="n"/>
      <c r="G229" s="29" t="n"/>
      <c r="I229" s="156" t="n"/>
      <c r="L229" s="33" t="n"/>
      <c r="M229" s="34" t="n"/>
      <c r="O229" s="34" t="n"/>
      <c r="P229" s="119" t="n"/>
      <c r="Q229" s="34" t="n"/>
      <c r="R229" s="119" t="n"/>
      <c r="T229" s="119" t="n"/>
      <c r="U229" s="34" t="n"/>
      <c r="V229" s="119" t="n"/>
    </row>
    <row r="230" ht="15" customFormat="1" customHeight="1" s="116">
      <c r="B230" s="117" t="n"/>
      <c r="C230" s="157" t="n"/>
      <c r="D230" s="28" t="n"/>
      <c r="E230" s="29" t="n"/>
      <c r="F230" s="29" t="n"/>
      <c r="G230" s="29" t="n"/>
      <c r="I230" s="156" t="n"/>
      <c r="L230" s="33" t="n"/>
      <c r="M230" s="34" t="n"/>
      <c r="O230" s="34" t="n"/>
      <c r="P230" s="119" t="n"/>
      <c r="Q230" s="34" t="n"/>
      <c r="R230" s="119" t="n"/>
      <c r="T230" s="119" t="n"/>
      <c r="U230" s="34" t="n"/>
      <c r="V230" s="119" t="n"/>
    </row>
    <row r="231" ht="15" customFormat="1" customHeight="1" s="116">
      <c r="B231" s="117" t="n"/>
      <c r="C231" s="157" t="n"/>
      <c r="D231" s="28" t="n"/>
      <c r="E231" s="29" t="n"/>
      <c r="F231" s="29" t="n"/>
      <c r="G231" s="29" t="n"/>
      <c r="I231" s="156" t="n"/>
      <c r="L231" s="33" t="n"/>
      <c r="M231" s="34" t="n"/>
      <c r="O231" s="34" t="n"/>
      <c r="P231" s="119" t="n"/>
      <c r="Q231" s="34" t="n"/>
      <c r="R231" s="119" t="n"/>
      <c r="T231" s="119" t="n"/>
      <c r="U231" s="34" t="n"/>
      <c r="V231" s="119" t="n"/>
    </row>
    <row r="232" ht="15" customFormat="1" customHeight="1" s="116">
      <c r="B232" s="117" t="n"/>
      <c r="C232" s="157" t="n"/>
      <c r="D232" s="28" t="n"/>
      <c r="E232" s="29" t="n"/>
      <c r="F232" s="29" t="n"/>
      <c r="G232" s="29" t="n"/>
      <c r="I232" s="156" t="n"/>
      <c r="L232" s="33" t="n"/>
      <c r="M232" s="34" t="n"/>
      <c r="O232" s="34" t="n"/>
      <c r="P232" s="119" t="n"/>
      <c r="Q232" s="34" t="n"/>
      <c r="R232" s="119" t="n"/>
      <c r="T232" s="119" t="n"/>
      <c r="U232" s="34" t="n"/>
      <c r="V232" s="119" t="n"/>
    </row>
    <row r="233" ht="15" customFormat="1" customHeight="1" s="116">
      <c r="B233" s="117" t="n"/>
      <c r="C233" s="157" t="n"/>
      <c r="D233" s="28" t="n"/>
      <c r="E233" s="29" t="n"/>
      <c r="F233" s="29" t="n"/>
      <c r="G233" s="29" t="n"/>
      <c r="I233" s="156" t="n"/>
      <c r="L233" s="33" t="n"/>
      <c r="M233" s="34" t="n"/>
      <c r="O233" s="34" t="n"/>
      <c r="P233" s="119" t="n"/>
      <c r="Q233" s="34" t="n"/>
      <c r="R233" s="119" t="n"/>
      <c r="T233" s="119" t="n"/>
      <c r="U233" s="34" t="n"/>
      <c r="V233" s="119" t="n"/>
    </row>
    <row r="234" ht="15" customFormat="1" customHeight="1" s="116">
      <c r="B234" s="117" t="n"/>
      <c r="C234" s="157" t="n"/>
      <c r="D234" s="28" t="n"/>
      <c r="E234" s="29" t="n"/>
      <c r="F234" s="29" t="n"/>
      <c r="G234" s="29" t="n"/>
      <c r="I234" s="156" t="n"/>
      <c r="L234" s="33" t="n"/>
      <c r="M234" s="34" t="n"/>
      <c r="O234" s="34" t="n"/>
      <c r="P234" s="119" t="n"/>
      <c r="Q234" s="34" t="n"/>
      <c r="R234" s="119" t="n"/>
      <c r="T234" s="119" t="n"/>
      <c r="U234" s="34" t="n"/>
      <c r="V234" s="119" t="n"/>
    </row>
    <row r="235" ht="15" customFormat="1" customHeight="1" s="116">
      <c r="B235" s="117" t="n"/>
      <c r="C235" s="157" t="n"/>
      <c r="D235" s="28" t="n"/>
      <c r="E235" s="29" t="n"/>
      <c r="F235" s="29" t="n"/>
      <c r="G235" s="29" t="n"/>
      <c r="I235" s="156" t="n"/>
      <c r="L235" s="33" t="n"/>
      <c r="M235" s="34" t="n"/>
      <c r="O235" s="34" t="n"/>
      <c r="P235" s="119" t="n"/>
      <c r="Q235" s="34" t="n"/>
      <c r="R235" s="119" t="n"/>
      <c r="T235" s="119" t="n"/>
      <c r="U235" s="34" t="n"/>
      <c r="V235" s="119" t="n"/>
    </row>
    <row r="236" ht="15" customFormat="1" customHeight="1" s="116">
      <c r="B236" s="117" t="n"/>
      <c r="C236" s="157" t="n"/>
      <c r="D236" s="28" t="n"/>
      <c r="E236" s="29" t="n"/>
      <c r="F236" s="29" t="n"/>
      <c r="G236" s="29" t="n"/>
      <c r="I236" s="156" t="n"/>
      <c r="L236" s="33" t="n"/>
      <c r="M236" s="34" t="n"/>
      <c r="O236" s="34" t="n"/>
      <c r="P236" s="119" t="n"/>
      <c r="Q236" s="34" t="n"/>
      <c r="R236" s="119" t="n"/>
      <c r="T236" s="119" t="n"/>
      <c r="U236" s="34" t="n"/>
      <c r="V236" s="119" t="n"/>
    </row>
    <row r="237" ht="15" customFormat="1" customHeight="1" s="116">
      <c r="B237" s="117" t="n"/>
      <c r="C237" s="157" t="n"/>
      <c r="D237" s="28" t="n"/>
      <c r="E237" s="29" t="n"/>
      <c r="F237" s="29" t="n"/>
      <c r="G237" s="29" t="n"/>
      <c r="I237" s="156" t="n"/>
      <c r="L237" s="33" t="n"/>
      <c r="M237" s="34" t="n"/>
      <c r="O237" s="34" t="n"/>
      <c r="P237" s="119" t="n"/>
      <c r="Q237" s="34" t="n"/>
      <c r="R237" s="119" t="n"/>
      <c r="T237" s="119" t="n"/>
      <c r="U237" s="34" t="n"/>
      <c r="V237" s="119" t="n"/>
    </row>
    <row r="238" ht="15" customFormat="1" customHeight="1" s="116">
      <c r="B238" s="117" t="n"/>
      <c r="C238" s="157" t="n"/>
      <c r="D238" s="28" t="n"/>
      <c r="E238" s="29" t="n"/>
      <c r="F238" s="29" t="n"/>
      <c r="G238" s="29" t="n"/>
      <c r="I238" s="156" t="n"/>
      <c r="L238" s="33" t="n"/>
      <c r="M238" s="34" t="n"/>
      <c r="O238" s="34" t="n"/>
      <c r="P238" s="119" t="n"/>
      <c r="Q238" s="34" t="n"/>
      <c r="R238" s="119" t="n"/>
      <c r="T238" s="119" t="n"/>
      <c r="U238" s="34" t="n"/>
      <c r="V238" s="119" t="n"/>
    </row>
    <row r="239" ht="15" customFormat="1" customHeight="1" s="116">
      <c r="B239" s="117" t="n"/>
      <c r="C239" s="157" t="n"/>
      <c r="D239" s="28" t="n"/>
      <c r="E239" s="29" t="n"/>
      <c r="F239" s="29" t="n"/>
      <c r="G239" s="29" t="n"/>
      <c r="I239" s="156" t="n"/>
      <c r="L239" s="33" t="n"/>
      <c r="M239" s="34" t="n"/>
      <c r="O239" s="34" t="n"/>
      <c r="P239" s="119" t="n"/>
      <c r="Q239" s="34" t="n"/>
      <c r="R239" s="119" t="n"/>
      <c r="T239" s="119" t="n"/>
      <c r="U239" s="34" t="n"/>
      <c r="V239" s="119" t="n"/>
    </row>
    <row r="240" ht="15" customFormat="1" customHeight="1" s="116">
      <c r="B240" s="117" t="n"/>
      <c r="C240" s="157" t="n"/>
      <c r="D240" s="28" t="n"/>
      <c r="E240" s="29" t="n"/>
      <c r="F240" s="29" t="n"/>
      <c r="G240" s="29" t="n"/>
      <c r="I240" s="156" t="n"/>
      <c r="L240" s="33" t="n"/>
      <c r="M240" s="34" t="n"/>
      <c r="O240" s="34" t="n"/>
      <c r="P240" s="119" t="n"/>
      <c r="Q240" s="34" t="n"/>
      <c r="R240" s="119" t="n"/>
      <c r="T240" s="119" t="n"/>
      <c r="U240" s="34" t="n"/>
      <c r="V240" s="119" t="n"/>
    </row>
    <row r="241" ht="15" customFormat="1" customHeight="1" s="116">
      <c r="B241" s="117" t="n"/>
      <c r="C241" s="157" t="n"/>
      <c r="D241" s="28" t="n"/>
      <c r="E241" s="29" t="n"/>
      <c r="F241" s="29" t="n"/>
      <c r="G241" s="29" t="n"/>
      <c r="I241" s="156" t="n"/>
      <c r="L241" s="33" t="n"/>
      <c r="M241" s="34" t="n"/>
      <c r="O241" s="34" t="n"/>
      <c r="P241" s="119" t="n"/>
      <c r="Q241" s="34" t="n"/>
      <c r="R241" s="119" t="n"/>
      <c r="T241" s="119" t="n"/>
      <c r="U241" s="34" t="n"/>
      <c r="V241" s="119" t="n"/>
    </row>
    <row r="242" ht="15" customFormat="1" customHeight="1" s="116">
      <c r="B242" s="117" t="n"/>
      <c r="C242" s="157" t="n"/>
      <c r="D242" s="28" t="n"/>
      <c r="E242" s="29" t="n"/>
      <c r="F242" s="29" t="n"/>
      <c r="G242" s="29" t="n"/>
      <c r="I242" s="156" t="n"/>
      <c r="L242" s="33" t="n"/>
      <c r="M242" s="34" t="n"/>
      <c r="O242" s="34" t="n"/>
      <c r="P242" s="119" t="n"/>
      <c r="Q242" s="34" t="n"/>
      <c r="R242" s="119" t="n"/>
      <c r="T242" s="119" t="n"/>
      <c r="U242" s="34" t="n"/>
      <c r="V242" s="119" t="n"/>
    </row>
    <row r="243" ht="15" customFormat="1" customHeight="1" s="116">
      <c r="B243" s="117" t="n"/>
      <c r="C243" s="157" t="n"/>
      <c r="D243" s="28" t="n"/>
      <c r="E243" s="29" t="n"/>
      <c r="F243" s="29" t="n"/>
      <c r="G243" s="29" t="n"/>
      <c r="I243" s="156" t="n"/>
      <c r="L243" s="33" t="n"/>
      <c r="M243" s="34" t="n"/>
      <c r="O243" s="34" t="n"/>
      <c r="P243" s="119" t="n"/>
      <c r="Q243" s="34" t="n"/>
      <c r="R243" s="119" t="n"/>
      <c r="T243" s="119" t="n"/>
      <c r="U243" s="34" t="n"/>
      <c r="V243" s="119" t="n"/>
    </row>
    <row r="244" ht="15" customFormat="1" customHeight="1" s="116">
      <c r="B244" s="117" t="n"/>
      <c r="C244" s="157" t="n"/>
      <c r="D244" s="28" t="n"/>
      <c r="E244" s="29" t="n"/>
      <c r="F244" s="29" t="n"/>
      <c r="G244" s="29" t="n"/>
      <c r="I244" s="156" t="n"/>
      <c r="L244" s="33" t="n"/>
      <c r="M244" s="34" t="n"/>
      <c r="O244" s="34" t="n"/>
      <c r="P244" s="119" t="n"/>
      <c r="Q244" s="34" t="n"/>
      <c r="R244" s="119" t="n"/>
      <c r="T244" s="119" t="n"/>
      <c r="U244" s="34" t="n"/>
      <c r="V244" s="119" t="n"/>
    </row>
    <row r="245" ht="15" customFormat="1" customHeight="1" s="116">
      <c r="B245" s="117" t="n"/>
      <c r="C245" s="157" t="n"/>
      <c r="D245" s="28" t="n"/>
      <c r="E245" s="29" t="n"/>
      <c r="F245" s="29" t="n"/>
      <c r="G245" s="29" t="n"/>
      <c r="I245" s="156" t="n"/>
      <c r="L245" s="33" t="n"/>
      <c r="M245" s="34" t="n"/>
      <c r="O245" s="34" t="n"/>
      <c r="P245" s="119" t="n"/>
      <c r="Q245" s="34" t="n"/>
      <c r="R245" s="119" t="n"/>
      <c r="T245" s="119" t="n"/>
      <c r="U245" s="34" t="n"/>
      <c r="V245" s="119" t="n"/>
    </row>
    <row r="246" ht="15" customFormat="1" customHeight="1" s="116">
      <c r="B246" s="117" t="n"/>
      <c r="C246" s="157" t="n"/>
      <c r="D246" s="28" t="n"/>
      <c r="E246" s="29" t="n"/>
      <c r="F246" s="29" t="n"/>
      <c r="G246" s="29" t="n"/>
      <c r="I246" s="156" t="n"/>
      <c r="L246" s="33" t="n"/>
      <c r="M246" s="34" t="n"/>
      <c r="O246" s="34" t="n"/>
      <c r="P246" s="119" t="n"/>
      <c r="Q246" s="34" t="n"/>
      <c r="R246" s="119" t="n"/>
      <c r="T246" s="119" t="n"/>
      <c r="U246" s="34" t="n"/>
      <c r="V246" s="119" t="n"/>
    </row>
    <row r="247" ht="15" customFormat="1" customHeight="1" s="116">
      <c r="B247" s="117" t="n"/>
      <c r="C247" s="157" t="n"/>
      <c r="D247" s="28" t="n"/>
      <c r="E247" s="29" t="n"/>
      <c r="F247" s="29" t="n"/>
      <c r="G247" s="29" t="n"/>
      <c r="I247" s="156" t="n"/>
      <c r="L247" s="33" t="n"/>
      <c r="M247" s="34" t="n"/>
      <c r="O247" s="34" t="n"/>
      <c r="P247" s="119" t="n"/>
      <c r="Q247" s="34" t="n"/>
      <c r="R247" s="119" t="n"/>
      <c r="T247" s="119" t="n"/>
      <c r="U247" s="34" t="n"/>
      <c r="V247" s="119" t="n"/>
    </row>
    <row r="248" ht="15" customFormat="1" customHeight="1" s="116">
      <c r="B248" s="117" t="n"/>
      <c r="C248" s="157" t="n"/>
      <c r="D248" s="28" t="n"/>
      <c r="E248" s="29" t="n"/>
      <c r="F248" s="29" t="n"/>
      <c r="G248" s="29" t="n"/>
      <c r="I248" s="156" t="n"/>
      <c r="L248" s="33" t="n"/>
      <c r="M248" s="34" t="n"/>
      <c r="O248" s="34" t="n"/>
      <c r="P248" s="119" t="n"/>
      <c r="Q248" s="34" t="n"/>
      <c r="R248" s="119" t="n"/>
      <c r="T248" s="119" t="n"/>
      <c r="U248" s="34" t="n"/>
      <c r="V248" s="119" t="n"/>
    </row>
    <row r="249" ht="15" customFormat="1" customHeight="1" s="116">
      <c r="B249" s="117" t="n"/>
      <c r="C249" s="157" t="n"/>
      <c r="D249" s="28" t="n"/>
      <c r="E249" s="29" t="n"/>
      <c r="F249" s="29" t="n"/>
      <c r="G249" s="29" t="n"/>
      <c r="I249" s="156" t="n"/>
      <c r="L249" s="33" t="n"/>
      <c r="M249" s="34" t="n"/>
      <c r="O249" s="34" t="n"/>
      <c r="P249" s="119" t="n"/>
      <c r="Q249" s="34" t="n"/>
      <c r="R249" s="119" t="n"/>
      <c r="T249" s="119" t="n"/>
      <c r="U249" s="34" t="n"/>
      <c r="V249" s="119" t="n"/>
    </row>
    <row r="250" ht="15" customFormat="1" customHeight="1" s="116">
      <c r="B250" s="117" t="n"/>
      <c r="C250" s="157" t="n"/>
      <c r="D250" s="28" t="n"/>
      <c r="E250" s="29" t="n"/>
      <c r="F250" s="29" t="n"/>
      <c r="G250" s="29" t="n"/>
      <c r="I250" s="156" t="n"/>
      <c r="L250" s="33" t="n"/>
      <c r="M250" s="34" t="n"/>
      <c r="O250" s="34" t="n"/>
      <c r="P250" s="119" t="n"/>
      <c r="Q250" s="34" t="n"/>
      <c r="R250" s="119" t="n"/>
      <c r="T250" s="119" t="n"/>
      <c r="U250" s="34" t="n"/>
      <c r="V250" s="119" t="n"/>
    </row>
    <row r="251" ht="15" customFormat="1" customHeight="1" s="116">
      <c r="B251" s="117" t="n"/>
      <c r="C251" s="157" t="n"/>
      <c r="D251" s="28" t="n"/>
      <c r="E251" s="29" t="n"/>
      <c r="F251" s="29" t="n"/>
      <c r="G251" s="29" t="n"/>
      <c r="I251" s="156" t="n"/>
      <c r="L251" s="33" t="n"/>
      <c r="M251" s="34" t="n"/>
      <c r="O251" s="34" t="n"/>
      <c r="P251" s="119" t="n"/>
      <c r="Q251" s="34" t="n"/>
      <c r="R251" s="119" t="n"/>
      <c r="T251" s="119" t="n"/>
      <c r="U251" s="34" t="n"/>
      <c r="V251" s="119" t="n"/>
    </row>
    <row r="252" ht="15" customFormat="1" customHeight="1" s="116">
      <c r="B252" s="117" t="n"/>
      <c r="C252" s="157" t="n"/>
      <c r="D252" s="28" t="n"/>
      <c r="E252" s="29" t="n"/>
      <c r="F252" s="29" t="n"/>
      <c r="G252" s="29" t="n"/>
      <c r="I252" s="156" t="n"/>
      <c r="L252" s="33" t="n"/>
      <c r="M252" s="34" t="n"/>
      <c r="O252" s="34" t="n"/>
      <c r="P252" s="119" t="n"/>
      <c r="Q252" s="34" t="n"/>
      <c r="R252" s="119" t="n"/>
      <c r="T252" s="119" t="n"/>
      <c r="U252" s="34" t="n"/>
      <c r="V252" s="119" t="n"/>
    </row>
    <row r="253" ht="15" customFormat="1" customHeight="1" s="116">
      <c r="B253" s="117" t="n"/>
      <c r="C253" s="157" t="n"/>
      <c r="D253" s="28" t="n"/>
      <c r="E253" s="29" t="n"/>
      <c r="F253" s="29" t="n"/>
      <c r="G253" s="29" t="n"/>
      <c r="I253" s="156" t="n"/>
      <c r="L253" s="33" t="n"/>
      <c r="M253" s="34" t="n"/>
      <c r="O253" s="34" t="n"/>
      <c r="P253" s="119" t="n"/>
      <c r="Q253" s="34" t="n"/>
      <c r="R253" s="119" t="n"/>
      <c r="T253" s="119" t="n"/>
      <c r="U253" s="34" t="n"/>
      <c r="V253" s="119" t="n"/>
    </row>
    <row r="254" ht="15" customFormat="1" customHeight="1" s="116">
      <c r="B254" s="117" t="n"/>
      <c r="C254" s="157" t="n"/>
      <c r="D254" s="28" t="n"/>
      <c r="E254" s="29" t="n"/>
      <c r="F254" s="29" t="n"/>
      <c r="G254" s="29" t="n"/>
      <c r="I254" s="156" t="n"/>
      <c r="L254" s="33" t="n"/>
      <c r="M254" s="34" t="n"/>
      <c r="O254" s="34" t="n"/>
      <c r="P254" s="119" t="n"/>
      <c r="Q254" s="34" t="n"/>
      <c r="R254" s="119" t="n"/>
      <c r="T254" s="119" t="n"/>
      <c r="U254" s="34" t="n"/>
      <c r="V254" s="119" t="n"/>
    </row>
    <row r="255" ht="15" customFormat="1" customHeight="1" s="116">
      <c r="B255" s="117" t="n"/>
      <c r="C255" s="157" t="n"/>
      <c r="D255" s="28" t="n"/>
      <c r="E255" s="29" t="n"/>
      <c r="F255" s="29" t="n"/>
      <c r="G255" s="29" t="n"/>
      <c r="I255" s="156" t="n"/>
      <c r="L255" s="33" t="n"/>
      <c r="M255" s="34" t="n"/>
      <c r="O255" s="34" t="n"/>
      <c r="P255" s="119" t="n"/>
      <c r="Q255" s="34" t="n"/>
      <c r="R255" s="119" t="n"/>
      <c r="T255" s="119" t="n"/>
      <c r="U255" s="34" t="n"/>
      <c r="V255" s="119" t="n"/>
    </row>
    <row r="256" ht="15" customFormat="1" customHeight="1" s="116">
      <c r="B256" s="117" t="n"/>
      <c r="C256" s="157" t="n"/>
      <c r="D256" s="28" t="n"/>
      <c r="E256" s="29" t="n"/>
      <c r="F256" s="29" t="n"/>
      <c r="G256" s="29" t="n"/>
      <c r="I256" s="156" t="n"/>
      <c r="L256" s="33" t="n"/>
      <c r="M256" s="34" t="n"/>
      <c r="O256" s="34" t="n"/>
      <c r="P256" s="119" t="n"/>
      <c r="Q256" s="34" t="n"/>
      <c r="R256" s="119" t="n"/>
      <c r="T256" s="119" t="n"/>
      <c r="U256" s="34" t="n"/>
      <c r="V256" s="119" t="n"/>
    </row>
    <row r="257" ht="15" customFormat="1" customHeight="1" s="116">
      <c r="B257" s="117" t="n"/>
      <c r="C257" s="157" t="n"/>
      <c r="D257" s="28" t="n"/>
      <c r="E257" s="29" t="n"/>
      <c r="F257" s="29" t="n"/>
      <c r="G257" s="29" t="n"/>
      <c r="I257" s="156" t="n"/>
      <c r="L257" s="33" t="n"/>
      <c r="M257" s="34" t="n"/>
      <c r="O257" s="34" t="n"/>
      <c r="P257" s="119" t="n"/>
      <c r="Q257" s="34" t="n"/>
      <c r="R257" s="119" t="n"/>
      <c r="T257" s="119" t="n"/>
      <c r="U257" s="34" t="n"/>
      <c r="V257" s="119" t="n"/>
    </row>
    <row r="258" ht="15" customFormat="1" customHeight="1" s="116">
      <c r="B258" s="117" t="n"/>
      <c r="C258" s="157" t="n"/>
      <c r="D258" s="28" t="n"/>
      <c r="E258" s="29" t="n"/>
      <c r="F258" s="29" t="n"/>
      <c r="G258" s="29" t="n"/>
      <c r="I258" s="156" t="n"/>
      <c r="L258" s="33" t="n"/>
      <c r="M258" s="34" t="n"/>
      <c r="O258" s="34" t="n"/>
      <c r="P258" s="119" t="n"/>
      <c r="Q258" s="34" t="n"/>
      <c r="R258" s="119" t="n"/>
      <c r="T258" s="119" t="n"/>
      <c r="U258" s="34" t="n"/>
      <c r="V258" s="119" t="n"/>
    </row>
    <row r="259" ht="15" customFormat="1" customHeight="1" s="116">
      <c r="B259" s="117" t="n"/>
      <c r="C259" s="157" t="n"/>
      <c r="D259" s="28" t="n"/>
      <c r="E259" s="29" t="n"/>
      <c r="F259" s="29" t="n"/>
      <c r="G259" s="29" t="n"/>
      <c r="I259" s="156" t="n"/>
      <c r="L259" s="33" t="n"/>
      <c r="M259" s="34" t="n"/>
      <c r="O259" s="34" t="n"/>
      <c r="P259" s="119" t="n"/>
      <c r="Q259" s="34" t="n"/>
      <c r="R259" s="119" t="n"/>
      <c r="T259" s="119" t="n"/>
      <c r="U259" s="34" t="n"/>
      <c r="V259" s="119" t="n"/>
    </row>
    <row r="260" ht="15" customFormat="1" customHeight="1" s="116">
      <c r="B260" s="117" t="n"/>
      <c r="C260" s="157" t="n"/>
      <c r="D260" s="28" t="n"/>
      <c r="E260" s="29" t="n"/>
      <c r="F260" s="29" t="n"/>
      <c r="G260" s="29" t="n"/>
      <c r="I260" s="156" t="n"/>
      <c r="L260" s="33" t="n"/>
      <c r="M260" s="34" t="n"/>
      <c r="O260" s="34" t="n"/>
      <c r="P260" s="119" t="n"/>
      <c r="Q260" s="34" t="n"/>
      <c r="R260" s="119" t="n"/>
      <c r="T260" s="119" t="n"/>
      <c r="U260" s="34" t="n"/>
      <c r="V260" s="119" t="n"/>
    </row>
    <row r="261" ht="15" customFormat="1" customHeight="1" s="116">
      <c r="B261" s="117" t="n"/>
      <c r="C261" s="157" t="n"/>
      <c r="D261" s="28" t="n"/>
      <c r="E261" s="29" t="n"/>
      <c r="F261" s="29" t="n"/>
      <c r="G261" s="29" t="n"/>
      <c r="I261" s="156" t="n"/>
      <c r="L261" s="33" t="n"/>
      <c r="M261" s="34" t="n"/>
      <c r="O261" s="34" t="n"/>
      <c r="P261" s="119" t="n"/>
      <c r="Q261" s="34" t="n"/>
      <c r="R261" s="119" t="n"/>
      <c r="T261" s="119" t="n"/>
      <c r="U261" s="34" t="n"/>
      <c r="V261" s="119" t="n"/>
    </row>
    <row r="262" ht="15" customFormat="1" customHeight="1" s="116">
      <c r="B262" s="117" t="n"/>
      <c r="C262" s="157" t="n"/>
      <c r="D262" s="28" t="n"/>
      <c r="E262" s="29" t="n"/>
      <c r="F262" s="29" t="n"/>
      <c r="G262" s="29" t="n"/>
      <c r="I262" s="156" t="n"/>
      <c r="L262" s="33" t="n"/>
      <c r="M262" s="34" t="n"/>
      <c r="O262" s="34" t="n"/>
      <c r="P262" s="119" t="n"/>
      <c r="Q262" s="34" t="n"/>
      <c r="R262" s="119" t="n"/>
      <c r="T262" s="119" t="n"/>
      <c r="U262" s="34" t="n"/>
      <c r="V262" s="119" t="n"/>
    </row>
    <row r="263" ht="15" customFormat="1" customHeight="1" s="116">
      <c r="B263" s="117" t="n"/>
      <c r="C263" s="157" t="n"/>
      <c r="D263" s="28" t="n"/>
      <c r="E263" s="29" t="n"/>
      <c r="F263" s="29" t="n"/>
      <c r="G263" s="29" t="n"/>
      <c r="I263" s="156" t="n"/>
      <c r="L263" s="33" t="n"/>
      <c r="M263" s="34" t="n"/>
      <c r="O263" s="34" t="n"/>
      <c r="P263" s="119" t="n"/>
      <c r="Q263" s="34" t="n"/>
      <c r="R263" s="119" t="n"/>
      <c r="T263" s="119" t="n"/>
      <c r="U263" s="34" t="n"/>
      <c r="V263" s="119" t="n"/>
    </row>
    <row r="264" ht="15" customFormat="1" customHeight="1" s="116">
      <c r="B264" s="117" t="n"/>
      <c r="C264" s="157" t="n"/>
      <c r="D264" s="28" t="n"/>
      <c r="E264" s="29" t="n"/>
      <c r="F264" s="29" t="n"/>
      <c r="G264" s="29" t="n"/>
      <c r="I264" s="156" t="n"/>
      <c r="L264" s="33" t="n"/>
      <c r="M264" s="34" t="n"/>
      <c r="O264" s="34" t="n"/>
      <c r="P264" s="119" t="n"/>
      <c r="Q264" s="34" t="n"/>
      <c r="R264" s="119" t="n"/>
      <c r="T264" s="119" t="n"/>
      <c r="U264" s="34" t="n"/>
      <c r="V264" s="119" t="n"/>
    </row>
    <row r="265" ht="15" customFormat="1" customHeight="1" s="116">
      <c r="B265" s="117" t="n"/>
      <c r="C265" s="157" t="n"/>
      <c r="D265" s="28" t="n"/>
      <c r="E265" s="29" t="n"/>
      <c r="F265" s="29" t="n"/>
      <c r="G265" s="29" t="n"/>
      <c r="I265" s="156" t="n"/>
      <c r="L265" s="33" t="n"/>
      <c r="M265" s="34" t="n"/>
      <c r="O265" s="34" t="n"/>
      <c r="P265" s="119" t="n"/>
      <c r="Q265" s="34" t="n"/>
      <c r="R265" s="119" t="n"/>
      <c r="T265" s="119" t="n"/>
      <c r="U265" s="34" t="n"/>
      <c r="V265" s="119" t="n"/>
    </row>
    <row r="266" ht="15" customFormat="1" customHeight="1" s="116">
      <c r="B266" s="117" t="n"/>
      <c r="C266" s="157" t="n"/>
      <c r="D266" s="28" t="n"/>
      <c r="E266" s="29" t="n"/>
      <c r="F266" s="29" t="n"/>
      <c r="G266" s="29" t="n"/>
      <c r="I266" s="156" t="n"/>
      <c r="L266" s="33" t="n"/>
      <c r="M266" s="34" t="n"/>
      <c r="O266" s="34" t="n"/>
      <c r="P266" s="119" t="n"/>
      <c r="Q266" s="34" t="n"/>
      <c r="R266" s="119" t="n"/>
      <c r="T266" s="119" t="n"/>
      <c r="U266" s="34" t="n"/>
      <c r="V266" s="119" t="n"/>
    </row>
    <row r="267" ht="15" customFormat="1" customHeight="1" s="116">
      <c r="B267" s="117" t="n"/>
      <c r="C267" s="157" t="n"/>
      <c r="D267" s="28" t="n"/>
      <c r="E267" s="29" t="n"/>
      <c r="F267" s="29" t="n"/>
      <c r="G267" s="29" t="n"/>
      <c r="I267" s="156" t="n"/>
      <c r="L267" s="33" t="n"/>
      <c r="M267" s="34" t="n"/>
      <c r="O267" s="34" t="n"/>
      <c r="P267" s="119" t="n"/>
      <c r="Q267" s="34" t="n"/>
      <c r="R267" s="119" t="n"/>
      <c r="T267" s="119" t="n"/>
      <c r="U267" s="34" t="n"/>
      <c r="V267" s="119" t="n"/>
    </row>
    <row r="268" ht="15" customFormat="1" customHeight="1" s="116">
      <c r="B268" s="117" t="n"/>
      <c r="C268" s="157" t="n"/>
      <c r="D268" s="28" t="n"/>
      <c r="E268" s="29" t="n"/>
      <c r="F268" s="29" t="n"/>
      <c r="G268" s="29" t="n"/>
      <c r="I268" s="156" t="n"/>
      <c r="L268" s="33" t="n"/>
      <c r="M268" s="34" t="n"/>
      <c r="O268" s="34" t="n"/>
      <c r="P268" s="119" t="n"/>
      <c r="Q268" s="34" t="n"/>
      <c r="R268" s="119" t="n"/>
      <c r="T268" s="119" t="n"/>
      <c r="U268" s="34" t="n"/>
      <c r="V268" s="119" t="n"/>
    </row>
    <row r="269" ht="15" customFormat="1" customHeight="1" s="116">
      <c r="B269" s="117" t="n"/>
      <c r="C269" s="157" t="n"/>
      <c r="D269" s="28" t="n"/>
      <c r="E269" s="29" t="n"/>
      <c r="F269" s="29" t="n"/>
      <c r="G269" s="29" t="n"/>
      <c r="I269" s="156" t="n"/>
      <c r="L269" s="33" t="n"/>
      <c r="M269" s="34" t="n"/>
      <c r="O269" s="34" t="n"/>
      <c r="P269" s="119" t="n"/>
      <c r="Q269" s="34" t="n"/>
      <c r="R269" s="119" t="n"/>
      <c r="T269" s="119" t="n"/>
      <c r="U269" s="34" t="n"/>
      <c r="V269" s="119" t="n"/>
    </row>
    <row r="270" ht="15" customFormat="1" customHeight="1" s="116">
      <c r="B270" s="117" t="n"/>
      <c r="C270" s="157" t="n"/>
      <c r="D270" s="28" t="n"/>
      <c r="E270" s="29" t="n"/>
      <c r="F270" s="29" t="n"/>
      <c r="G270" s="29" t="n"/>
      <c r="I270" s="156" t="n"/>
      <c r="L270" s="33" t="n"/>
      <c r="M270" s="34" t="n"/>
      <c r="O270" s="34" t="n"/>
      <c r="P270" s="119" t="n"/>
      <c r="Q270" s="34" t="n"/>
      <c r="R270" s="119" t="n"/>
      <c r="T270" s="119" t="n"/>
      <c r="U270" s="34" t="n"/>
      <c r="V270" s="119" t="n"/>
    </row>
    <row r="271" ht="15" customFormat="1" customHeight="1" s="116">
      <c r="B271" s="117" t="n"/>
      <c r="C271" s="157" t="n"/>
      <c r="D271" s="28" t="n"/>
      <c r="E271" s="29" t="n"/>
      <c r="F271" s="29" t="n"/>
      <c r="G271" s="29" t="n"/>
      <c r="I271" s="156" t="n"/>
      <c r="L271" s="33" t="n"/>
      <c r="M271" s="34" t="n"/>
      <c r="O271" s="34" t="n"/>
      <c r="P271" s="119" t="n"/>
      <c r="Q271" s="34" t="n"/>
      <c r="R271" s="119" t="n"/>
      <c r="T271" s="119" t="n"/>
      <c r="U271" s="34" t="n"/>
      <c r="V271" s="119" t="n"/>
    </row>
    <row r="272" ht="15" customFormat="1" customHeight="1" s="116">
      <c r="B272" s="117" t="n"/>
      <c r="C272" s="157" t="n"/>
      <c r="D272" s="28" t="n"/>
      <c r="E272" s="29" t="n"/>
      <c r="F272" s="29" t="n"/>
      <c r="G272" s="29" t="n"/>
      <c r="I272" s="156" t="n"/>
      <c r="L272" s="33" t="n"/>
      <c r="M272" s="34" t="n"/>
      <c r="O272" s="34" t="n"/>
      <c r="P272" s="119" t="n"/>
      <c r="Q272" s="34" t="n"/>
      <c r="R272" s="119" t="n"/>
      <c r="T272" s="119" t="n"/>
      <c r="U272" s="34" t="n"/>
      <c r="V272" s="119" t="n"/>
    </row>
    <row r="273" ht="15" customFormat="1" customHeight="1" s="116">
      <c r="B273" s="117" t="n"/>
      <c r="C273" s="157" t="n"/>
      <c r="D273" s="28" t="n"/>
      <c r="E273" s="29" t="n"/>
      <c r="F273" s="29" t="n"/>
      <c r="G273" s="29" t="n"/>
      <c r="I273" s="156" t="n"/>
      <c r="L273" s="33" t="n"/>
      <c r="M273" s="34" t="n"/>
      <c r="O273" s="34" t="n"/>
      <c r="P273" s="119" t="n"/>
      <c r="Q273" s="34" t="n"/>
      <c r="R273" s="119" t="n"/>
      <c r="T273" s="119" t="n"/>
      <c r="U273" s="34" t="n"/>
      <c r="V273" s="119" t="n"/>
    </row>
    <row r="274" ht="15" customFormat="1" customHeight="1" s="116">
      <c r="B274" s="117" t="n"/>
      <c r="C274" s="157" t="n"/>
      <c r="D274" s="28" t="n"/>
      <c r="E274" s="29" t="n"/>
      <c r="F274" s="29" t="n"/>
      <c r="G274" s="29" t="n"/>
      <c r="I274" s="156" t="n"/>
      <c r="L274" s="33" t="n"/>
      <c r="M274" s="34" t="n"/>
      <c r="O274" s="34" t="n"/>
      <c r="P274" s="119" t="n"/>
      <c r="Q274" s="34" t="n"/>
      <c r="R274" s="119" t="n"/>
      <c r="T274" s="119" t="n"/>
      <c r="U274" s="34" t="n"/>
      <c r="V274" s="119" t="n"/>
    </row>
    <row r="275" ht="15" customFormat="1" customHeight="1" s="116">
      <c r="B275" s="117" t="n"/>
      <c r="C275" s="157" t="n"/>
      <c r="D275" s="28" t="n"/>
      <c r="E275" s="29" t="n"/>
      <c r="F275" s="29" t="n"/>
      <c r="G275" s="29" t="n"/>
      <c r="I275" s="156" t="n"/>
      <c r="L275" s="33" t="n"/>
      <c r="M275" s="34" t="n"/>
      <c r="O275" s="34" t="n"/>
      <c r="P275" s="119" t="n"/>
      <c r="Q275" s="34" t="n"/>
      <c r="R275" s="119" t="n"/>
      <c r="T275" s="119" t="n"/>
      <c r="U275" s="34" t="n"/>
      <c r="V275" s="119" t="n"/>
    </row>
    <row r="276" ht="15" customFormat="1" customHeight="1" s="116">
      <c r="B276" s="117" t="n"/>
      <c r="C276" s="157" t="n"/>
      <c r="D276" s="28" t="n"/>
      <c r="E276" s="29" t="n"/>
      <c r="F276" s="29" t="n"/>
      <c r="G276" s="29" t="n"/>
      <c r="I276" s="156" t="n"/>
      <c r="L276" s="33" t="n"/>
      <c r="M276" s="34" t="n"/>
      <c r="O276" s="34" t="n"/>
      <c r="P276" s="119" t="n"/>
      <c r="Q276" s="34" t="n"/>
      <c r="R276" s="119" t="n"/>
      <c r="T276" s="119" t="n"/>
      <c r="U276" s="34" t="n"/>
      <c r="V276" s="119" t="n"/>
    </row>
    <row r="277" ht="15" customFormat="1" customHeight="1" s="116">
      <c r="B277" s="117" t="n"/>
      <c r="C277" s="157" t="n"/>
      <c r="D277" s="28" t="n"/>
      <c r="E277" s="29" t="n"/>
      <c r="F277" s="29" t="n"/>
      <c r="G277" s="29" t="n"/>
      <c r="I277" s="156" t="n"/>
      <c r="L277" s="33" t="n"/>
      <c r="M277" s="34" t="n"/>
      <c r="O277" s="34" t="n"/>
      <c r="P277" s="119" t="n"/>
      <c r="Q277" s="34" t="n"/>
      <c r="R277" s="119" t="n"/>
      <c r="T277" s="119" t="n"/>
      <c r="U277" s="34" t="n"/>
      <c r="V277" s="119" t="n"/>
    </row>
    <row r="278" ht="15" customFormat="1" customHeight="1" s="116">
      <c r="B278" s="117" t="n"/>
      <c r="C278" s="157" t="n"/>
      <c r="D278" s="28" t="n"/>
      <c r="E278" s="29" t="n"/>
      <c r="F278" s="29" t="n"/>
      <c r="G278" s="29" t="n"/>
      <c r="I278" s="156" t="n"/>
      <c r="L278" s="33" t="n"/>
      <c r="M278" s="34" t="n"/>
      <c r="O278" s="34" t="n"/>
      <c r="P278" s="119" t="n"/>
      <c r="Q278" s="34" t="n"/>
      <c r="R278" s="119" t="n"/>
      <c r="T278" s="119" t="n"/>
      <c r="U278" s="34" t="n"/>
      <c r="V278" s="119" t="n"/>
    </row>
    <row r="279" ht="15" customFormat="1" customHeight="1" s="116">
      <c r="B279" s="117" t="n"/>
      <c r="C279" s="157" t="n"/>
      <c r="D279" s="28" t="n"/>
      <c r="E279" s="29" t="n"/>
      <c r="F279" s="29" t="n"/>
      <c r="G279" s="29" t="n"/>
      <c r="I279" s="156" t="n"/>
      <c r="L279" s="33" t="n"/>
      <c r="M279" s="34" t="n"/>
      <c r="O279" s="34" t="n"/>
      <c r="P279" s="119" t="n"/>
      <c r="Q279" s="34" t="n"/>
      <c r="R279" s="119" t="n"/>
      <c r="T279" s="119" t="n"/>
      <c r="U279" s="34" t="n"/>
      <c r="V279" s="119" t="n"/>
    </row>
    <row r="280" ht="15" customFormat="1" customHeight="1" s="116">
      <c r="B280" s="117" t="n"/>
      <c r="C280" s="157" t="n"/>
      <c r="D280" s="28" t="n"/>
      <c r="E280" s="29" t="n"/>
      <c r="F280" s="29" t="n"/>
      <c r="G280" s="29" t="n"/>
      <c r="I280" s="156" t="n"/>
      <c r="L280" s="33" t="n"/>
      <c r="M280" s="34" t="n"/>
      <c r="O280" s="34" t="n"/>
      <c r="P280" s="119" t="n"/>
      <c r="Q280" s="34" t="n"/>
      <c r="R280" s="119" t="n"/>
      <c r="T280" s="119" t="n"/>
      <c r="U280" s="34" t="n"/>
      <c r="V280" s="119" t="n"/>
    </row>
    <row r="281" ht="15" customFormat="1" customHeight="1" s="116">
      <c r="B281" s="117" t="n"/>
      <c r="C281" s="157" t="n"/>
      <c r="D281" s="28" t="n"/>
      <c r="E281" s="29" t="n"/>
      <c r="F281" s="29" t="n"/>
      <c r="G281" s="29" t="n"/>
      <c r="I281" s="156" t="n"/>
      <c r="L281" s="33" t="n"/>
      <c r="M281" s="34" t="n"/>
      <c r="O281" s="34" t="n"/>
      <c r="P281" s="119" t="n"/>
      <c r="Q281" s="34" t="n"/>
      <c r="R281" s="119" t="n"/>
      <c r="T281" s="119" t="n"/>
      <c r="U281" s="34" t="n"/>
      <c r="V281" s="119" t="n"/>
    </row>
    <row r="282" ht="15" customFormat="1" customHeight="1" s="116">
      <c r="B282" s="117" t="n"/>
      <c r="C282" s="157" t="n"/>
      <c r="D282" s="28" t="n"/>
      <c r="E282" s="29" t="n"/>
      <c r="F282" s="29" t="n"/>
      <c r="G282" s="29" t="n"/>
      <c r="I282" s="156" t="n"/>
      <c r="L282" s="33" t="n"/>
      <c r="M282" s="34" t="n"/>
      <c r="O282" s="34" t="n"/>
      <c r="P282" s="119" t="n"/>
      <c r="Q282" s="34" t="n"/>
      <c r="R282" s="119" t="n"/>
      <c r="T282" s="119" t="n"/>
      <c r="U282" s="34" t="n"/>
      <c r="V282" s="119" t="n"/>
    </row>
    <row r="283" ht="15" customFormat="1" customHeight="1" s="116">
      <c r="B283" s="117" t="n"/>
      <c r="C283" s="157" t="n"/>
      <c r="D283" s="28" t="n"/>
      <c r="E283" s="29" t="n"/>
      <c r="F283" s="29" t="n"/>
      <c r="G283" s="29" t="n"/>
      <c r="I283" s="156" t="n"/>
      <c r="L283" s="33" t="n"/>
      <c r="M283" s="34" t="n"/>
      <c r="O283" s="34" t="n"/>
      <c r="P283" s="119" t="n"/>
      <c r="Q283" s="34" t="n"/>
      <c r="R283" s="119" t="n"/>
      <c r="T283" s="119" t="n"/>
      <c r="U283" s="34" t="n"/>
      <c r="V283" s="119" t="n"/>
    </row>
    <row r="284" ht="15" customFormat="1" customHeight="1" s="116">
      <c r="B284" s="117" t="n"/>
      <c r="C284" s="157" t="n"/>
      <c r="D284" s="28" t="n"/>
      <c r="E284" s="29" t="n"/>
      <c r="F284" s="29" t="n"/>
      <c r="G284" s="29" t="n"/>
      <c r="I284" s="156" t="n"/>
      <c r="L284" s="33" t="n"/>
      <c r="M284" s="34" t="n"/>
      <c r="O284" s="34" t="n"/>
      <c r="P284" s="119" t="n"/>
      <c r="Q284" s="34" t="n"/>
      <c r="R284" s="119" t="n"/>
      <c r="T284" s="119" t="n"/>
      <c r="U284" s="34" t="n"/>
      <c r="V284" s="119" t="n"/>
    </row>
    <row r="285" ht="15" customFormat="1" customHeight="1" s="116">
      <c r="B285" s="117" t="n"/>
      <c r="C285" s="157" t="n"/>
      <c r="D285" s="28" t="n"/>
      <c r="E285" s="29" t="n"/>
      <c r="F285" s="29" t="n"/>
      <c r="G285" s="29" t="n"/>
      <c r="I285" s="156" t="n"/>
      <c r="L285" s="33" t="n"/>
      <c r="M285" s="34" t="n"/>
      <c r="O285" s="34" t="n"/>
      <c r="P285" s="119" t="n"/>
      <c r="Q285" s="34" t="n"/>
      <c r="R285" s="119" t="n"/>
      <c r="T285" s="119" t="n"/>
      <c r="U285" s="34" t="n"/>
      <c r="V285" s="119" t="n"/>
    </row>
    <row r="286" ht="15" customFormat="1" customHeight="1" s="116">
      <c r="B286" s="117" t="n"/>
      <c r="C286" s="157" t="n"/>
      <c r="D286" s="28" t="n"/>
      <c r="E286" s="29" t="n"/>
      <c r="F286" s="29" t="n"/>
      <c r="G286" s="29" t="n"/>
      <c r="I286" s="156" t="n"/>
      <c r="L286" s="33" t="n"/>
      <c r="M286" s="34" t="n"/>
      <c r="O286" s="34" t="n"/>
      <c r="P286" s="119" t="n"/>
      <c r="Q286" s="34" t="n"/>
      <c r="R286" s="119" t="n"/>
      <c r="T286" s="119" t="n"/>
      <c r="U286" s="34" t="n"/>
      <c r="V286" s="119" t="n"/>
    </row>
    <row r="287" ht="15" customFormat="1" customHeight="1" s="116">
      <c r="B287" s="117" t="n"/>
      <c r="C287" s="157" t="n"/>
      <c r="D287" s="28" t="n"/>
      <c r="E287" s="29" t="n"/>
      <c r="F287" s="29" t="n"/>
      <c r="G287" s="29" t="n"/>
      <c r="I287" s="156" t="n"/>
      <c r="L287" s="33" t="n"/>
      <c r="M287" s="34" t="n"/>
      <c r="O287" s="34" t="n"/>
      <c r="P287" s="119" t="n"/>
      <c r="Q287" s="34" t="n"/>
      <c r="R287" s="119" t="n"/>
      <c r="T287" s="119" t="n"/>
      <c r="U287" s="34" t="n"/>
      <c r="V287" s="119" t="n"/>
    </row>
    <row r="288" ht="15" customFormat="1" customHeight="1" s="116">
      <c r="B288" s="117" t="n"/>
      <c r="C288" s="157" t="n"/>
      <c r="D288" s="28" t="n"/>
      <c r="E288" s="29" t="n"/>
      <c r="F288" s="29" t="n"/>
      <c r="G288" s="29" t="n"/>
      <c r="I288" s="156" t="n"/>
      <c r="L288" s="33" t="n"/>
      <c r="M288" s="34" t="n"/>
      <c r="O288" s="34" t="n"/>
      <c r="P288" s="119" t="n"/>
      <c r="Q288" s="34" t="n"/>
      <c r="R288" s="119" t="n"/>
      <c r="T288" s="119" t="n"/>
      <c r="U288" s="34" t="n"/>
      <c r="V288" s="119" t="n"/>
    </row>
    <row r="289" ht="15" customFormat="1" customHeight="1" s="116">
      <c r="B289" s="117" t="n"/>
      <c r="C289" s="157" t="n"/>
      <c r="D289" s="28" t="n"/>
      <c r="E289" s="29" t="n"/>
      <c r="F289" s="29" t="n"/>
      <c r="G289" s="29" t="n"/>
      <c r="I289" s="156" t="n"/>
      <c r="L289" s="33" t="n"/>
      <c r="M289" s="34" t="n"/>
      <c r="O289" s="34" t="n"/>
      <c r="P289" s="119" t="n"/>
      <c r="Q289" s="34" t="n"/>
      <c r="R289" s="119" t="n"/>
      <c r="T289" s="119" t="n"/>
      <c r="U289" s="34" t="n"/>
      <c r="V289" s="119" t="n"/>
    </row>
    <row r="290" ht="15" customFormat="1" customHeight="1" s="116">
      <c r="B290" s="117" t="n"/>
      <c r="C290" s="157" t="n"/>
      <c r="D290" s="28" t="n"/>
      <c r="E290" s="29" t="n"/>
      <c r="F290" s="29" t="n"/>
      <c r="G290" s="29" t="n"/>
      <c r="I290" s="156" t="n"/>
      <c r="L290" s="33" t="n"/>
      <c r="M290" s="34" t="n"/>
      <c r="O290" s="34" t="n"/>
      <c r="P290" s="119" t="n"/>
      <c r="Q290" s="34" t="n"/>
      <c r="R290" s="119" t="n"/>
      <c r="T290" s="119" t="n"/>
      <c r="U290" s="34" t="n"/>
      <c r="V290" s="119" t="n"/>
    </row>
    <row r="291" ht="15" customFormat="1" customHeight="1" s="116">
      <c r="B291" s="117" t="n"/>
      <c r="C291" s="157" t="n"/>
      <c r="D291" s="28" t="n"/>
      <c r="E291" s="29" t="n"/>
      <c r="F291" s="29" t="n"/>
      <c r="G291" s="29" t="n"/>
      <c r="I291" s="156" t="n"/>
      <c r="L291" s="33" t="n"/>
      <c r="M291" s="34" t="n"/>
      <c r="O291" s="34" t="n"/>
      <c r="P291" s="119" t="n"/>
      <c r="Q291" s="34" t="n"/>
      <c r="R291" s="119" t="n"/>
      <c r="T291" s="119" t="n"/>
      <c r="U291" s="34" t="n"/>
      <c r="V291" s="119" t="n"/>
    </row>
    <row r="292" ht="15" customFormat="1" customHeight="1" s="116">
      <c r="B292" s="117" t="n"/>
      <c r="C292" s="157" t="n"/>
      <c r="D292" s="28" t="n"/>
      <c r="E292" s="29" t="n"/>
      <c r="F292" s="29" t="n"/>
      <c r="G292" s="29" t="n"/>
      <c r="I292" s="156" t="n"/>
      <c r="L292" s="33" t="n"/>
      <c r="M292" s="34" t="n"/>
      <c r="O292" s="34" t="n"/>
      <c r="P292" s="119" t="n"/>
      <c r="Q292" s="34" t="n"/>
      <c r="R292" s="119" t="n"/>
      <c r="T292" s="119" t="n"/>
      <c r="U292" s="34" t="n"/>
      <c r="V292" s="119" t="n"/>
    </row>
    <row r="293" ht="15" customFormat="1" customHeight="1" s="116">
      <c r="B293" s="117" t="n"/>
      <c r="C293" s="157" t="n"/>
      <c r="D293" s="28" t="n"/>
      <c r="E293" s="29" t="n"/>
      <c r="F293" s="29" t="n"/>
      <c r="G293" s="29" t="n"/>
      <c r="I293" s="156" t="n"/>
      <c r="L293" s="33" t="n"/>
      <c r="M293" s="34" t="n"/>
      <c r="O293" s="34" t="n"/>
      <c r="P293" s="119" t="n"/>
      <c r="Q293" s="34" t="n"/>
      <c r="R293" s="119" t="n"/>
      <c r="T293" s="119" t="n"/>
      <c r="U293" s="34" t="n"/>
      <c r="V293" s="119" t="n"/>
    </row>
    <row r="294" ht="15" customFormat="1" customHeight="1" s="116">
      <c r="B294" s="117" t="n"/>
      <c r="C294" s="157" t="n"/>
      <c r="D294" s="28" t="n"/>
      <c r="E294" s="29" t="n"/>
      <c r="F294" s="29" t="n"/>
      <c r="G294" s="29" t="n"/>
      <c r="I294" s="156" t="n"/>
      <c r="L294" s="33" t="n"/>
      <c r="M294" s="34" t="n"/>
      <c r="O294" s="34" t="n"/>
      <c r="P294" s="119" t="n"/>
      <c r="Q294" s="34" t="n"/>
      <c r="R294" s="119" t="n"/>
      <c r="T294" s="119" t="n"/>
      <c r="U294" s="34" t="n"/>
      <c r="V294" s="119" t="n"/>
    </row>
    <row r="295" ht="15" customFormat="1" customHeight="1" s="116">
      <c r="B295" s="117" t="n"/>
      <c r="C295" s="157" t="n"/>
      <c r="D295" s="28" t="n"/>
      <c r="E295" s="29" t="n"/>
      <c r="F295" s="29" t="n"/>
      <c r="G295" s="29" t="n"/>
      <c r="I295" s="156" t="n"/>
      <c r="L295" s="33" t="n"/>
      <c r="M295" s="34" t="n"/>
      <c r="O295" s="34" t="n"/>
      <c r="P295" s="119" t="n"/>
      <c r="Q295" s="34" t="n"/>
      <c r="R295" s="119" t="n"/>
      <c r="T295" s="119" t="n"/>
      <c r="U295" s="34" t="n"/>
      <c r="V295" s="119" t="n"/>
    </row>
    <row r="296" ht="15" customFormat="1" customHeight="1" s="116">
      <c r="B296" s="117" t="n"/>
      <c r="C296" s="157" t="n"/>
      <c r="D296" s="28" t="n"/>
      <c r="E296" s="29" t="n"/>
      <c r="F296" s="29" t="n"/>
      <c r="G296" s="29" t="n"/>
      <c r="I296" s="156" t="n"/>
      <c r="L296" s="33" t="n"/>
      <c r="M296" s="34" t="n"/>
      <c r="O296" s="34" t="n"/>
      <c r="P296" s="119" t="n"/>
      <c r="Q296" s="34" t="n"/>
      <c r="R296" s="119" t="n"/>
      <c r="T296" s="119" t="n"/>
      <c r="U296" s="34" t="n"/>
      <c r="V296" s="119" t="n"/>
    </row>
    <row r="297" ht="15" customFormat="1" customHeight="1" s="116">
      <c r="B297" s="117" t="n"/>
      <c r="C297" s="157" t="n"/>
      <c r="D297" s="28" t="n"/>
      <c r="E297" s="29" t="n"/>
      <c r="F297" s="29" t="n"/>
      <c r="G297" s="29" t="n"/>
      <c r="I297" s="156" t="n"/>
      <c r="L297" s="33" t="n"/>
      <c r="M297" s="34" t="n"/>
      <c r="O297" s="34" t="n"/>
      <c r="P297" s="119" t="n"/>
      <c r="Q297" s="34" t="n"/>
      <c r="R297" s="119" t="n"/>
      <c r="T297" s="119" t="n"/>
      <c r="U297" s="34" t="n"/>
      <c r="V297" s="119" t="n"/>
    </row>
    <row r="298" ht="15" customFormat="1" customHeight="1" s="116">
      <c r="B298" s="117" t="n"/>
      <c r="C298" s="157" t="n"/>
      <c r="D298" s="28" t="n"/>
      <c r="E298" s="29" t="n"/>
      <c r="F298" s="29" t="n"/>
      <c r="G298" s="29" t="n"/>
      <c r="I298" s="156" t="n"/>
      <c r="L298" s="33" t="n"/>
      <c r="M298" s="34" t="n"/>
      <c r="O298" s="34" t="n"/>
      <c r="P298" s="119" t="n"/>
      <c r="Q298" s="34" t="n"/>
      <c r="R298" s="119" t="n"/>
      <c r="T298" s="119" t="n"/>
      <c r="U298" s="34" t="n"/>
      <c r="V298" s="119" t="n"/>
    </row>
    <row r="299" ht="15" customFormat="1" customHeight="1" s="116">
      <c r="B299" s="117" t="n"/>
      <c r="C299" s="157" t="n"/>
      <c r="D299" s="28" t="n"/>
      <c r="E299" s="29" t="n"/>
      <c r="F299" s="29" t="n"/>
      <c r="G299" s="29" t="n"/>
      <c r="I299" s="156" t="n"/>
      <c r="L299" s="33" t="n"/>
      <c r="M299" s="34" t="n"/>
      <c r="O299" s="34" t="n"/>
      <c r="P299" s="119" t="n"/>
      <c r="Q299" s="34" t="n"/>
      <c r="R299" s="119" t="n"/>
      <c r="T299" s="119" t="n"/>
      <c r="U299" s="34" t="n"/>
      <c r="V299" s="119" t="n"/>
    </row>
    <row r="300" ht="15" customFormat="1" customHeight="1" s="116">
      <c r="B300" s="117" t="n"/>
      <c r="C300" s="157" t="n"/>
      <c r="D300" s="28" t="n"/>
      <c r="E300" s="29" t="n"/>
      <c r="F300" s="29" t="n"/>
      <c r="G300" s="29" t="n"/>
      <c r="I300" s="156" t="n"/>
      <c r="L300" s="33" t="n"/>
      <c r="M300" s="34" t="n"/>
      <c r="O300" s="34" t="n"/>
      <c r="P300" s="119" t="n"/>
      <c r="Q300" s="34" t="n"/>
      <c r="R300" s="119" t="n"/>
      <c r="T300" s="119" t="n"/>
      <c r="U300" s="34" t="n"/>
      <c r="V300" s="119" t="n"/>
    </row>
    <row r="301" ht="15" customFormat="1" customHeight="1" s="116">
      <c r="B301" s="117" t="n"/>
      <c r="C301" s="157" t="n"/>
      <c r="D301" s="28" t="n"/>
      <c r="E301" s="29" t="n"/>
      <c r="F301" s="29" t="n"/>
      <c r="G301" s="29" t="n"/>
      <c r="I301" s="156" t="n"/>
      <c r="L301" s="33" t="n"/>
      <c r="M301" s="34" t="n"/>
      <c r="O301" s="34" t="n"/>
      <c r="P301" s="119" t="n"/>
      <c r="Q301" s="34" t="n"/>
      <c r="R301" s="119" t="n"/>
      <c r="T301" s="119" t="n"/>
      <c r="U301" s="34" t="n"/>
      <c r="V301" s="119" t="n"/>
    </row>
    <row r="302" ht="15" customFormat="1" customHeight="1" s="116">
      <c r="B302" s="117" t="n"/>
      <c r="C302" s="157" t="n"/>
      <c r="D302" s="28" t="n"/>
      <c r="E302" s="29" t="n"/>
      <c r="F302" s="29" t="n"/>
      <c r="G302" s="29" t="n"/>
      <c r="I302" s="156" t="n"/>
      <c r="L302" s="33" t="n"/>
      <c r="M302" s="34" t="n"/>
      <c r="O302" s="34" t="n"/>
      <c r="P302" s="119" t="n"/>
      <c r="Q302" s="34" t="n"/>
      <c r="R302" s="119" t="n"/>
      <c r="T302" s="119" t="n"/>
      <c r="U302" s="34" t="n"/>
      <c r="V302" s="119" t="n"/>
    </row>
    <row r="303" ht="15" customFormat="1" customHeight="1" s="116">
      <c r="B303" s="117" t="n"/>
      <c r="C303" s="157" t="n"/>
      <c r="D303" s="28" t="n"/>
      <c r="E303" s="29" t="n"/>
      <c r="F303" s="29" t="n"/>
      <c r="G303" s="29" t="n"/>
      <c r="I303" s="156" t="n"/>
      <c r="L303" s="33" t="n"/>
      <c r="M303" s="34" t="n"/>
      <c r="O303" s="34" t="n"/>
      <c r="P303" s="119" t="n"/>
      <c r="Q303" s="34" t="n"/>
      <c r="R303" s="119" t="n"/>
      <c r="T303" s="119" t="n"/>
      <c r="U303" s="34" t="n"/>
      <c r="V303" s="119" t="n"/>
    </row>
    <row r="304" ht="15" customFormat="1" customHeight="1" s="116">
      <c r="B304" s="117" t="n"/>
      <c r="C304" s="157" t="n"/>
      <c r="D304" s="28" t="n"/>
      <c r="E304" s="29" t="n"/>
      <c r="F304" s="29" t="n"/>
      <c r="G304" s="29" t="n"/>
      <c r="I304" s="156" t="n"/>
      <c r="L304" s="33" t="n"/>
      <c r="M304" s="34" t="n"/>
      <c r="O304" s="34" t="n"/>
      <c r="P304" s="119" t="n"/>
      <c r="Q304" s="34" t="n"/>
      <c r="R304" s="119" t="n"/>
      <c r="T304" s="119" t="n"/>
      <c r="U304" s="34" t="n"/>
      <c r="V304" s="119" t="n"/>
    </row>
    <row r="305" ht="15" customFormat="1" customHeight="1" s="116">
      <c r="B305" s="117" t="n"/>
      <c r="C305" s="157" t="n"/>
      <c r="D305" s="28" t="n"/>
      <c r="E305" s="29" t="n"/>
      <c r="F305" s="29" t="n"/>
      <c r="G305" s="29" t="n"/>
      <c r="I305" s="156" t="n"/>
      <c r="L305" s="33" t="n"/>
      <c r="M305" s="34" t="n"/>
      <c r="O305" s="34" t="n"/>
      <c r="P305" s="119" t="n"/>
      <c r="Q305" s="34" t="n"/>
      <c r="R305" s="119" t="n"/>
      <c r="T305" s="119" t="n"/>
      <c r="U305" s="34" t="n"/>
      <c r="V305" s="119" t="n"/>
    </row>
    <row r="306" ht="15" customFormat="1" customHeight="1" s="116">
      <c r="B306" s="117" t="n"/>
      <c r="C306" s="157" t="n"/>
      <c r="D306" s="28" t="n"/>
      <c r="E306" s="29" t="n"/>
      <c r="F306" s="29" t="n"/>
      <c r="G306" s="29" t="n"/>
      <c r="I306" s="156" t="n"/>
      <c r="L306" s="33" t="n"/>
      <c r="M306" s="34" t="n"/>
      <c r="O306" s="34" t="n"/>
      <c r="P306" s="119" t="n"/>
      <c r="Q306" s="34" t="n"/>
      <c r="R306" s="119" t="n"/>
      <c r="T306" s="119" t="n"/>
      <c r="U306" s="34" t="n"/>
      <c r="V306" s="119" t="n"/>
    </row>
    <row r="307" ht="15" customFormat="1" customHeight="1" s="116">
      <c r="B307" s="117" t="n"/>
      <c r="C307" s="157" t="n"/>
      <c r="D307" s="28" t="n"/>
      <c r="E307" s="29" t="n"/>
      <c r="F307" s="29" t="n"/>
      <c r="G307" s="29" t="n"/>
      <c r="I307" s="156" t="n"/>
      <c r="L307" s="33" t="n"/>
      <c r="M307" s="34" t="n"/>
      <c r="O307" s="34" t="n"/>
      <c r="P307" s="119" t="n"/>
      <c r="Q307" s="34" t="n"/>
      <c r="R307" s="119" t="n"/>
      <c r="T307" s="119" t="n"/>
      <c r="U307" s="34" t="n"/>
      <c r="V307" s="119" t="n"/>
    </row>
    <row r="308" ht="15" customFormat="1" customHeight="1" s="116">
      <c r="B308" s="117" t="n"/>
      <c r="C308" s="157" t="n"/>
      <c r="D308" s="28" t="n"/>
      <c r="E308" s="29" t="n"/>
      <c r="F308" s="29" t="n"/>
      <c r="G308" s="29" t="n"/>
      <c r="I308" s="156" t="n"/>
      <c r="L308" s="33" t="n"/>
      <c r="M308" s="34" t="n"/>
      <c r="O308" s="34" t="n"/>
      <c r="P308" s="119" t="n"/>
      <c r="Q308" s="34" t="n"/>
      <c r="R308" s="119" t="n"/>
      <c r="T308" s="119" t="n"/>
      <c r="U308" s="34" t="n"/>
      <c r="V308" s="119" t="n"/>
    </row>
    <row r="309" ht="15" customFormat="1" customHeight="1" s="116">
      <c r="B309" s="117" t="n"/>
      <c r="C309" s="157" t="n"/>
      <c r="D309" s="28" t="n"/>
      <c r="E309" s="29" t="n"/>
      <c r="F309" s="29" t="n"/>
      <c r="G309" s="29" t="n"/>
      <c r="I309" s="156" t="n"/>
      <c r="L309" s="33" t="n"/>
      <c r="M309" s="34" t="n"/>
      <c r="O309" s="34" t="n"/>
      <c r="P309" s="119" t="n"/>
      <c r="Q309" s="34" t="n"/>
      <c r="R309" s="119" t="n"/>
      <c r="T309" s="119" t="n"/>
      <c r="U309" s="34" t="n"/>
      <c r="V309" s="119" t="n"/>
    </row>
    <row r="310" ht="15" customFormat="1" customHeight="1" s="116">
      <c r="B310" s="117" t="n"/>
      <c r="C310" s="157" t="n"/>
      <c r="D310" s="28" t="n"/>
      <c r="E310" s="29" t="n"/>
      <c r="F310" s="29" t="n"/>
      <c r="G310" s="29" t="n"/>
      <c r="I310" s="156" t="n"/>
      <c r="L310" s="33" t="n"/>
      <c r="M310" s="34" t="n"/>
      <c r="O310" s="34" t="n"/>
      <c r="P310" s="119" t="n"/>
      <c r="Q310" s="34" t="n"/>
      <c r="R310" s="119" t="n"/>
      <c r="T310" s="119" t="n"/>
      <c r="U310" s="34" t="n"/>
      <c r="V310" s="119" t="n"/>
    </row>
    <row r="311" ht="15" customFormat="1" customHeight="1" s="116">
      <c r="B311" s="117" t="n"/>
      <c r="C311" s="157" t="n"/>
      <c r="D311" s="28" t="n"/>
      <c r="E311" s="29" t="n"/>
      <c r="F311" s="29" t="n"/>
      <c r="G311" s="29" t="n"/>
      <c r="I311" s="156" t="n"/>
      <c r="L311" s="33" t="n"/>
      <c r="M311" s="34" t="n"/>
      <c r="O311" s="34" t="n"/>
      <c r="P311" s="119" t="n"/>
      <c r="Q311" s="34" t="n"/>
      <c r="R311" s="119" t="n"/>
      <c r="T311" s="119" t="n"/>
      <c r="U311" s="34" t="n"/>
      <c r="V311" s="119" t="n"/>
    </row>
    <row r="312" ht="15" customFormat="1" customHeight="1" s="116">
      <c r="B312" s="117" t="n"/>
      <c r="C312" s="157" t="n"/>
      <c r="D312" s="28" t="n"/>
      <c r="E312" s="29" t="n"/>
      <c r="F312" s="29" t="n"/>
      <c r="G312" s="29" t="n"/>
      <c r="I312" s="156" t="n"/>
      <c r="L312" s="33" t="n"/>
      <c r="M312" s="34" t="n"/>
      <c r="O312" s="34" t="n"/>
      <c r="P312" s="119" t="n"/>
      <c r="Q312" s="34" t="n"/>
      <c r="R312" s="119" t="n"/>
      <c r="T312" s="119" t="n"/>
      <c r="U312" s="34" t="n"/>
      <c r="V312" s="119" t="n"/>
    </row>
    <row r="313" ht="15" customFormat="1" customHeight="1" s="116">
      <c r="B313" s="117" t="n"/>
      <c r="C313" s="157" t="n"/>
      <c r="D313" s="28" t="n"/>
      <c r="E313" s="29" t="n"/>
      <c r="F313" s="29" t="n"/>
      <c r="G313" s="29" t="n"/>
      <c r="I313" s="156" t="n"/>
      <c r="L313" s="33" t="n"/>
      <c r="M313" s="34" t="n"/>
      <c r="O313" s="34" t="n"/>
      <c r="P313" s="119" t="n"/>
      <c r="Q313" s="34" t="n"/>
      <c r="R313" s="119" t="n"/>
      <c r="T313" s="119" t="n"/>
      <c r="U313" s="34" t="n"/>
      <c r="V313" s="119" t="n"/>
    </row>
    <row r="314" ht="15" customFormat="1" customHeight="1" s="116">
      <c r="B314" s="117" t="n"/>
      <c r="C314" s="157" t="n"/>
      <c r="D314" s="28" t="n"/>
      <c r="E314" s="29" t="n"/>
      <c r="F314" s="29" t="n"/>
      <c r="G314" s="29" t="n"/>
      <c r="I314" s="156" t="n"/>
      <c r="L314" s="33" t="n"/>
      <c r="M314" s="34" t="n"/>
      <c r="O314" s="34" t="n"/>
      <c r="P314" s="119" t="n"/>
      <c r="Q314" s="34" t="n"/>
      <c r="R314" s="119" t="n"/>
      <c r="T314" s="119" t="n"/>
      <c r="U314" s="34" t="n"/>
      <c r="V314" s="119" t="n"/>
    </row>
    <row r="315" ht="15" customFormat="1" customHeight="1" s="116">
      <c r="B315" s="117" t="n"/>
      <c r="C315" s="157" t="n"/>
      <c r="D315" s="28" t="n"/>
      <c r="E315" s="29" t="n"/>
      <c r="F315" s="29" t="n"/>
      <c r="G315" s="29" t="n"/>
      <c r="I315" s="156" t="n"/>
      <c r="L315" s="33" t="n"/>
      <c r="M315" s="34" t="n"/>
      <c r="O315" s="34" t="n"/>
      <c r="P315" s="119" t="n"/>
      <c r="Q315" s="34" t="n"/>
      <c r="R315" s="119" t="n"/>
      <c r="T315" s="119" t="n"/>
      <c r="U315" s="34" t="n"/>
      <c r="V315" s="119" t="n"/>
    </row>
    <row r="316" ht="15" customFormat="1" customHeight="1" s="116">
      <c r="B316" s="117" t="n"/>
      <c r="C316" s="157" t="n"/>
      <c r="D316" s="28" t="n"/>
      <c r="E316" s="29" t="n"/>
      <c r="F316" s="29" t="n"/>
      <c r="G316" s="29" t="n"/>
      <c r="I316" s="156" t="n"/>
      <c r="L316" s="33" t="n"/>
      <c r="M316" s="34" t="n"/>
      <c r="O316" s="34" t="n"/>
      <c r="P316" s="119" t="n"/>
      <c r="Q316" s="34" t="n"/>
      <c r="R316" s="119" t="n"/>
      <c r="T316" s="119" t="n"/>
      <c r="U316" s="34" t="n"/>
      <c r="V316" s="119" t="n"/>
    </row>
    <row r="317" ht="15" customFormat="1" customHeight="1" s="116">
      <c r="B317" s="117" t="n"/>
      <c r="C317" s="157" t="n"/>
      <c r="D317" s="28" t="n"/>
      <c r="E317" s="29" t="n"/>
      <c r="F317" s="29" t="n"/>
      <c r="G317" s="29" t="n"/>
      <c r="I317" s="156" t="n"/>
      <c r="L317" s="33" t="n"/>
      <c r="M317" s="34" t="n"/>
      <c r="O317" s="34" t="n"/>
      <c r="P317" s="119" t="n"/>
      <c r="Q317" s="34" t="n"/>
      <c r="R317" s="119" t="n"/>
      <c r="T317" s="119" t="n"/>
      <c r="U317" s="34" t="n"/>
      <c r="V317" s="119" t="n"/>
    </row>
    <row r="318" ht="15" customFormat="1" customHeight="1" s="116">
      <c r="B318" s="117" t="n"/>
      <c r="C318" s="157" t="n"/>
      <c r="D318" s="28" t="n"/>
      <c r="E318" s="29" t="n"/>
      <c r="F318" s="29" t="n"/>
      <c r="G318" s="29" t="n"/>
      <c r="I318" s="156" t="n"/>
      <c r="L318" s="33" t="n"/>
      <c r="M318" s="34" t="n"/>
      <c r="O318" s="34" t="n"/>
      <c r="P318" s="119" t="n"/>
      <c r="Q318" s="34" t="n"/>
      <c r="R318" s="119" t="n"/>
      <c r="T318" s="119" t="n"/>
      <c r="U318" s="34" t="n"/>
      <c r="V318" s="119" t="n"/>
    </row>
    <row r="319" ht="15" customFormat="1" customHeight="1" s="116">
      <c r="B319" s="117" t="n"/>
      <c r="C319" s="157" t="n"/>
      <c r="D319" s="28" t="n"/>
      <c r="E319" s="29" t="n"/>
      <c r="F319" s="29" t="n"/>
      <c r="G319" s="29" t="n"/>
      <c r="I319" s="156" t="n"/>
      <c r="L319" s="33" t="n"/>
      <c r="M319" s="34" t="n"/>
      <c r="O319" s="34" t="n"/>
      <c r="P319" s="119" t="n"/>
      <c r="Q319" s="34" t="n"/>
      <c r="R319" s="119" t="n"/>
      <c r="T319" s="119" t="n"/>
      <c r="U319" s="34" t="n"/>
      <c r="V319" s="119" t="n"/>
    </row>
    <row r="320" ht="15" customFormat="1" customHeight="1" s="116">
      <c r="B320" s="117" t="n"/>
      <c r="C320" s="157" t="n"/>
      <c r="D320" s="28" t="n"/>
      <c r="E320" s="29" t="n"/>
      <c r="F320" s="29" t="n"/>
      <c r="G320" s="29" t="n"/>
      <c r="I320" s="156" t="n"/>
      <c r="L320" s="33" t="n"/>
      <c r="M320" s="34" t="n"/>
      <c r="O320" s="34" t="n"/>
      <c r="P320" s="119" t="n"/>
      <c r="Q320" s="34" t="n"/>
      <c r="R320" s="119" t="n"/>
      <c r="T320" s="119" t="n"/>
      <c r="U320" s="34" t="n"/>
      <c r="V320" s="119" t="n"/>
    </row>
    <row r="321" ht="15" customFormat="1" customHeight="1" s="116">
      <c r="B321" s="117" t="n"/>
      <c r="C321" s="157" t="n"/>
      <c r="D321" s="28" t="n"/>
      <c r="E321" s="29" t="n"/>
      <c r="F321" s="29" t="n"/>
      <c r="G321" s="29" t="n"/>
      <c r="I321" s="156" t="n"/>
      <c r="L321" s="33" t="n"/>
      <c r="M321" s="34" t="n"/>
      <c r="O321" s="34" t="n"/>
      <c r="P321" s="119" t="n"/>
      <c r="Q321" s="34" t="n"/>
      <c r="R321" s="119" t="n"/>
      <c r="T321" s="119" t="n"/>
      <c r="U321" s="34" t="n"/>
      <c r="V321" s="119" t="n"/>
    </row>
    <row r="322" ht="15" customFormat="1" customHeight="1" s="116">
      <c r="B322" s="117" t="n"/>
      <c r="C322" s="157" t="n"/>
      <c r="D322" s="28" t="n"/>
      <c r="E322" s="29" t="n"/>
      <c r="F322" s="29" t="n"/>
      <c r="G322" s="29" t="n"/>
      <c r="I322" s="156" t="n"/>
      <c r="L322" s="33" t="n"/>
      <c r="M322" s="34" t="n"/>
      <c r="O322" s="34" t="n"/>
      <c r="P322" s="119" t="n"/>
      <c r="Q322" s="34" t="n"/>
      <c r="R322" s="119" t="n"/>
      <c r="T322" s="119" t="n"/>
      <c r="U322" s="34" t="n"/>
      <c r="V322" s="119" t="n"/>
    </row>
    <row r="323" ht="15" customFormat="1" customHeight="1" s="116">
      <c r="B323" s="117" t="n"/>
      <c r="C323" s="157" t="n"/>
      <c r="D323" s="28" t="n"/>
      <c r="E323" s="29" t="n"/>
      <c r="F323" s="29" t="n"/>
      <c r="G323" s="29" t="n"/>
      <c r="I323" s="156" t="n"/>
      <c r="L323" s="33" t="n"/>
      <c r="M323" s="34" t="n"/>
      <c r="O323" s="34" t="n"/>
      <c r="P323" s="119" t="n"/>
      <c r="Q323" s="34" t="n"/>
      <c r="R323" s="119" t="n"/>
      <c r="T323" s="119" t="n"/>
      <c r="U323" s="34" t="n"/>
      <c r="V323" s="119" t="n"/>
    </row>
    <row r="324" ht="15" customFormat="1" customHeight="1" s="116">
      <c r="B324" s="117" t="n"/>
      <c r="C324" s="157" t="n"/>
      <c r="D324" s="28" t="n"/>
      <c r="E324" s="29" t="n"/>
      <c r="F324" s="29" t="n"/>
      <c r="G324" s="29" t="n"/>
      <c r="I324" s="156" t="n"/>
      <c r="L324" s="33" t="n"/>
      <c r="M324" s="34" t="n"/>
      <c r="O324" s="34" t="n"/>
      <c r="P324" s="119" t="n"/>
      <c r="Q324" s="34" t="n"/>
      <c r="R324" s="119" t="n"/>
      <c r="T324" s="119" t="n"/>
      <c r="U324" s="34" t="n"/>
      <c r="V324" s="119" t="n"/>
    </row>
    <row r="325" ht="15" customFormat="1" customHeight="1" s="116">
      <c r="B325" s="117" t="n"/>
      <c r="C325" s="157" t="n"/>
      <c r="D325" s="28" t="n"/>
      <c r="E325" s="29" t="n"/>
      <c r="F325" s="29" t="n"/>
      <c r="G325" s="29" t="n"/>
      <c r="I325" s="156" t="n"/>
      <c r="L325" s="33" t="n"/>
      <c r="M325" s="34" t="n"/>
      <c r="O325" s="34" t="n"/>
      <c r="P325" s="119" t="n"/>
      <c r="Q325" s="34" t="n"/>
      <c r="R325" s="119" t="n"/>
      <c r="T325" s="119" t="n"/>
      <c r="U325" s="34" t="n"/>
      <c r="V325" s="119" t="n"/>
    </row>
    <row r="326" ht="15" customFormat="1" customHeight="1" s="116">
      <c r="B326" s="117" t="n"/>
      <c r="C326" s="157" t="n"/>
      <c r="D326" s="28" t="n"/>
      <c r="E326" s="29" t="n"/>
      <c r="F326" s="29" t="n"/>
      <c r="G326" s="29" t="n"/>
      <c r="I326" s="156" t="n"/>
      <c r="L326" s="33" t="n"/>
      <c r="M326" s="34" t="n"/>
      <c r="O326" s="34" t="n"/>
      <c r="P326" s="119" t="n"/>
      <c r="Q326" s="34" t="n"/>
      <c r="R326" s="119" t="n"/>
      <c r="T326" s="119" t="n"/>
      <c r="U326" s="34" t="n"/>
      <c r="V326" s="119" t="n"/>
    </row>
    <row r="327" ht="15" customFormat="1" customHeight="1" s="116">
      <c r="B327" s="117" t="n"/>
      <c r="C327" s="157" t="n"/>
      <c r="D327" s="28" t="n"/>
      <c r="E327" s="29" t="n"/>
      <c r="F327" s="29" t="n"/>
      <c r="G327" s="29" t="n"/>
      <c r="I327" s="156" t="n"/>
      <c r="L327" s="33" t="n"/>
      <c r="M327" s="34" t="n"/>
      <c r="O327" s="34" t="n"/>
      <c r="P327" s="119" t="n"/>
      <c r="Q327" s="34" t="n"/>
      <c r="R327" s="119" t="n"/>
      <c r="T327" s="119" t="n"/>
      <c r="U327" s="34" t="n"/>
      <c r="V327" s="119" t="n"/>
    </row>
    <row r="328" ht="15" customFormat="1" customHeight="1" s="116">
      <c r="B328" s="117" t="n"/>
      <c r="C328" s="157" t="n"/>
      <c r="D328" s="28" t="n"/>
      <c r="E328" s="29" t="n"/>
      <c r="F328" s="29" t="n"/>
      <c r="G328" s="29" t="n"/>
      <c r="I328" s="156" t="n"/>
      <c r="L328" s="33" t="n"/>
      <c r="M328" s="34" t="n"/>
      <c r="O328" s="34" t="n"/>
      <c r="P328" s="119" t="n"/>
      <c r="Q328" s="34" t="n"/>
      <c r="R328" s="119" t="n"/>
      <c r="T328" s="119" t="n"/>
      <c r="U328" s="34" t="n"/>
      <c r="V328" s="119" t="n"/>
    </row>
    <row r="329" ht="15" customFormat="1" customHeight="1" s="116">
      <c r="B329" s="117" t="n"/>
      <c r="C329" s="157" t="n"/>
      <c r="D329" s="28" t="n"/>
      <c r="E329" s="29" t="n"/>
      <c r="F329" s="29" t="n"/>
      <c r="G329" s="29" t="n"/>
      <c r="I329" s="156" t="n"/>
      <c r="L329" s="33" t="n"/>
      <c r="M329" s="34" t="n"/>
      <c r="O329" s="34" t="n"/>
      <c r="P329" s="119" t="n"/>
      <c r="Q329" s="34" t="n"/>
      <c r="R329" s="119" t="n"/>
      <c r="T329" s="119" t="n"/>
      <c r="U329" s="34" t="n"/>
      <c r="V329" s="119" t="n"/>
    </row>
    <row r="330" ht="15" customFormat="1" customHeight="1" s="116">
      <c r="B330" s="117" t="n"/>
      <c r="C330" s="157" t="n"/>
      <c r="D330" s="28" t="n"/>
      <c r="E330" s="29" t="n"/>
      <c r="F330" s="29" t="n"/>
      <c r="G330" s="29" t="n"/>
      <c r="I330" s="156" t="n"/>
      <c r="L330" s="33" t="n"/>
      <c r="M330" s="34" t="n"/>
      <c r="O330" s="34" t="n"/>
      <c r="P330" s="119" t="n"/>
      <c r="Q330" s="34" t="n"/>
      <c r="R330" s="119" t="n"/>
      <c r="T330" s="119" t="n"/>
      <c r="U330" s="34" t="n"/>
      <c r="V330" s="119" t="n"/>
    </row>
    <row r="331" ht="15" customFormat="1" customHeight="1" s="116">
      <c r="B331" s="117" t="n"/>
      <c r="C331" s="157" t="n"/>
      <c r="D331" s="28" t="n"/>
      <c r="E331" s="29" t="n"/>
      <c r="F331" s="29" t="n"/>
      <c r="G331" s="29" t="n"/>
      <c r="I331" s="156" t="n"/>
      <c r="L331" s="33" t="n"/>
      <c r="M331" s="34" t="n"/>
      <c r="O331" s="34" t="n"/>
      <c r="P331" s="119" t="n"/>
      <c r="Q331" s="34" t="n"/>
      <c r="R331" s="119" t="n"/>
      <c r="T331" s="119" t="n"/>
      <c r="U331" s="34" t="n"/>
      <c r="V331" s="119" t="n"/>
    </row>
    <row r="332" ht="15" customFormat="1" customHeight="1" s="116">
      <c r="B332" s="117" t="n"/>
      <c r="C332" s="157" t="n"/>
      <c r="D332" s="28" t="n"/>
      <c r="E332" s="29" t="n"/>
      <c r="F332" s="29" t="n"/>
      <c r="G332" s="29" t="n"/>
      <c r="I332" s="156" t="n"/>
      <c r="L332" s="33" t="n"/>
      <c r="M332" s="34" t="n"/>
      <c r="O332" s="34" t="n"/>
      <c r="P332" s="119" t="n"/>
      <c r="Q332" s="34" t="n"/>
      <c r="R332" s="119" t="n"/>
      <c r="T332" s="119" t="n"/>
      <c r="U332" s="34" t="n"/>
      <c r="V332" s="119" t="n"/>
    </row>
    <row r="333" ht="15" customFormat="1" customHeight="1" s="116">
      <c r="B333" s="117" t="n"/>
      <c r="C333" s="157" t="n"/>
      <c r="D333" s="28" t="n"/>
      <c r="E333" s="29" t="n"/>
      <c r="F333" s="29" t="n"/>
      <c r="G333" s="29" t="n"/>
      <c r="I333" s="156" t="n"/>
      <c r="L333" s="33" t="n"/>
      <c r="M333" s="34" t="n"/>
      <c r="O333" s="34" t="n"/>
      <c r="P333" s="119" t="n"/>
      <c r="Q333" s="34" t="n"/>
      <c r="R333" s="119" t="n"/>
      <c r="T333" s="119" t="n"/>
      <c r="U333" s="34" t="n"/>
      <c r="V333" s="119" t="n"/>
    </row>
    <row r="334" ht="15" customFormat="1" customHeight="1" s="116">
      <c r="B334" s="117" t="n"/>
      <c r="C334" s="157" t="n"/>
      <c r="D334" s="28" t="n"/>
      <c r="E334" s="29" t="n"/>
      <c r="F334" s="29" t="n"/>
      <c r="G334" s="29" t="n"/>
      <c r="I334" s="156" t="n"/>
      <c r="L334" s="33" t="n"/>
      <c r="M334" s="34" t="n"/>
      <c r="O334" s="34" t="n"/>
      <c r="P334" s="119" t="n"/>
      <c r="Q334" s="34" t="n"/>
      <c r="R334" s="119" t="n"/>
      <c r="T334" s="119" t="n"/>
      <c r="U334" s="34" t="n"/>
      <c r="V334" s="119" t="n"/>
    </row>
    <row r="335" ht="15" customFormat="1" customHeight="1" s="116">
      <c r="B335" s="117" t="n"/>
      <c r="C335" s="157" t="n"/>
      <c r="D335" s="28" t="n"/>
      <c r="E335" s="29" t="n"/>
      <c r="F335" s="29" t="n"/>
      <c r="G335" s="29" t="n"/>
      <c r="I335" s="156" t="n"/>
      <c r="L335" s="33" t="n"/>
      <c r="M335" s="34" t="n"/>
      <c r="O335" s="34" t="n"/>
      <c r="P335" s="119" t="n"/>
      <c r="Q335" s="34" t="n"/>
      <c r="R335" s="119" t="n"/>
      <c r="T335" s="119" t="n"/>
      <c r="U335" s="34" t="n"/>
      <c r="V335" s="119" t="n"/>
    </row>
    <row r="336" ht="15" customFormat="1" customHeight="1" s="116">
      <c r="B336" s="117" t="n"/>
      <c r="C336" s="157" t="n"/>
      <c r="D336" s="28" t="n"/>
      <c r="E336" s="29" t="n"/>
      <c r="F336" s="29" t="n"/>
      <c r="G336" s="29" t="n"/>
      <c r="I336" s="156" t="n"/>
      <c r="L336" s="33" t="n"/>
      <c r="M336" s="34" t="n"/>
      <c r="O336" s="34" t="n"/>
      <c r="P336" s="119" t="n"/>
      <c r="Q336" s="34" t="n"/>
      <c r="R336" s="119" t="n"/>
      <c r="T336" s="119" t="n"/>
      <c r="U336" s="34" t="n"/>
      <c r="V336" s="119" t="n"/>
    </row>
    <row r="337" ht="15" customFormat="1" customHeight="1" s="116">
      <c r="B337" s="117" t="n"/>
      <c r="C337" s="157" t="n"/>
      <c r="D337" s="28" t="n"/>
      <c r="E337" s="29" t="n"/>
      <c r="F337" s="29" t="n"/>
      <c r="G337" s="29" t="n"/>
      <c r="I337" s="156" t="n"/>
      <c r="L337" s="33" t="n"/>
      <c r="M337" s="34" t="n"/>
      <c r="O337" s="34" t="n"/>
      <c r="P337" s="119" t="n"/>
      <c r="Q337" s="34" t="n"/>
      <c r="R337" s="119" t="n"/>
      <c r="T337" s="119" t="n"/>
      <c r="U337" s="34" t="n"/>
      <c r="V337" s="119" t="n"/>
    </row>
    <row r="338" ht="15" customFormat="1" customHeight="1" s="116">
      <c r="B338" s="117" t="n"/>
      <c r="C338" s="157" t="n"/>
      <c r="D338" s="28" t="n"/>
      <c r="E338" s="29" t="n"/>
      <c r="F338" s="29" t="n"/>
      <c r="G338" s="29" t="n"/>
      <c r="I338" s="156" t="n"/>
      <c r="L338" s="33" t="n"/>
      <c r="M338" s="34" t="n"/>
      <c r="O338" s="34" t="n"/>
      <c r="P338" s="119" t="n"/>
      <c r="Q338" s="34" t="n"/>
      <c r="R338" s="119" t="n"/>
      <c r="T338" s="119" t="n"/>
      <c r="U338" s="34" t="n"/>
      <c r="V338" s="119" t="n"/>
    </row>
    <row r="339" ht="15" customFormat="1" customHeight="1" s="116">
      <c r="B339" s="117" t="n"/>
      <c r="C339" s="157" t="n"/>
      <c r="D339" s="28" t="n"/>
      <c r="E339" s="29" t="n"/>
      <c r="F339" s="29" t="n"/>
      <c r="G339" s="29" t="n"/>
      <c r="I339" s="156" t="n"/>
      <c r="L339" s="33" t="n"/>
      <c r="M339" s="34" t="n"/>
      <c r="O339" s="34" t="n"/>
      <c r="P339" s="119" t="n"/>
      <c r="Q339" s="34" t="n"/>
      <c r="R339" s="119" t="n"/>
      <c r="T339" s="119" t="n"/>
      <c r="U339" s="34" t="n"/>
      <c r="V339" s="119" t="n"/>
    </row>
    <row r="340" ht="15" customFormat="1" customHeight="1" s="116">
      <c r="B340" s="117" t="n"/>
      <c r="C340" s="157" t="n"/>
      <c r="D340" s="28" t="n"/>
      <c r="E340" s="29" t="n"/>
      <c r="F340" s="29" t="n"/>
      <c r="G340" s="29" t="n"/>
      <c r="I340" s="156" t="n"/>
      <c r="L340" s="33" t="n"/>
      <c r="M340" s="34" t="n"/>
      <c r="O340" s="34" t="n"/>
      <c r="P340" s="119" t="n"/>
      <c r="Q340" s="34" t="n"/>
      <c r="R340" s="119" t="n"/>
      <c r="T340" s="119" t="n"/>
      <c r="U340" s="34" t="n"/>
      <c r="V340" s="119" t="n"/>
    </row>
    <row r="341" ht="15" customFormat="1" customHeight="1" s="116">
      <c r="B341" s="117" t="n"/>
      <c r="C341" s="157" t="n"/>
      <c r="D341" s="28" t="n"/>
      <c r="E341" s="29" t="n"/>
      <c r="F341" s="29" t="n"/>
      <c r="G341" s="29" t="n"/>
      <c r="I341" s="156" t="n"/>
      <c r="L341" s="33" t="n"/>
      <c r="M341" s="34" t="n"/>
      <c r="O341" s="34" t="n"/>
      <c r="P341" s="119" t="n"/>
      <c r="Q341" s="34" t="n"/>
      <c r="R341" s="119" t="n"/>
      <c r="T341" s="119" t="n"/>
      <c r="U341" s="34" t="n"/>
      <c r="V341" s="119" t="n"/>
    </row>
    <row r="342" ht="15" customFormat="1" customHeight="1" s="116">
      <c r="B342" s="117" t="n"/>
      <c r="C342" s="157" t="n"/>
      <c r="D342" s="28" t="n"/>
      <c r="E342" s="29" t="n"/>
      <c r="F342" s="29" t="n"/>
      <c r="G342" s="29" t="n"/>
      <c r="I342" s="156" t="n"/>
      <c r="L342" s="33" t="n"/>
      <c r="M342" s="34" t="n"/>
      <c r="O342" s="34" t="n"/>
      <c r="P342" s="119" t="n"/>
      <c r="Q342" s="34" t="n"/>
      <c r="R342" s="119" t="n"/>
      <c r="T342" s="119" t="n"/>
      <c r="U342" s="34" t="n"/>
      <c r="V342" s="119" t="n"/>
    </row>
    <row r="343" ht="15" customFormat="1" customHeight="1" s="116">
      <c r="B343" s="117" t="n"/>
      <c r="C343" s="157" t="n"/>
      <c r="D343" s="28" t="n"/>
      <c r="E343" s="29" t="n"/>
      <c r="F343" s="29" t="n"/>
      <c r="G343" s="29" t="n"/>
      <c r="I343" s="156" t="n"/>
      <c r="L343" s="33" t="n"/>
      <c r="M343" s="34" t="n"/>
      <c r="O343" s="34" t="n"/>
      <c r="P343" s="119" t="n"/>
      <c r="Q343" s="34" t="n"/>
      <c r="R343" s="119" t="n"/>
      <c r="T343" s="119" t="n"/>
      <c r="U343" s="34" t="n"/>
      <c r="V343" s="119" t="n"/>
    </row>
    <row r="344" ht="15" customFormat="1" customHeight="1" s="116">
      <c r="B344" s="117" t="n"/>
      <c r="C344" s="157" t="n"/>
      <c r="D344" s="28" t="n"/>
      <c r="E344" s="29" t="n"/>
      <c r="F344" s="29" t="n"/>
      <c r="G344" s="29" t="n"/>
      <c r="I344" s="156" t="n"/>
      <c r="L344" s="33" t="n"/>
      <c r="M344" s="34" t="n"/>
      <c r="O344" s="34" t="n"/>
      <c r="P344" s="119" t="n"/>
      <c r="Q344" s="34" t="n"/>
      <c r="R344" s="119" t="n"/>
      <c r="T344" s="119" t="n"/>
      <c r="U344" s="34" t="n"/>
      <c r="V344" s="119" t="n"/>
    </row>
    <row r="345" ht="15" customFormat="1" customHeight="1" s="116">
      <c r="B345" s="117" t="n"/>
      <c r="C345" s="157" t="n"/>
      <c r="D345" s="28" t="n"/>
      <c r="E345" s="29" t="n"/>
      <c r="F345" s="29" t="n"/>
      <c r="G345" s="29" t="n"/>
      <c r="I345" s="156" t="n"/>
      <c r="L345" s="33" t="n"/>
      <c r="M345" s="34" t="n"/>
      <c r="O345" s="34" t="n"/>
      <c r="P345" s="119" t="n"/>
      <c r="Q345" s="34" t="n"/>
      <c r="R345" s="119" t="n"/>
      <c r="T345" s="119" t="n"/>
      <c r="U345" s="34" t="n"/>
      <c r="V345" s="119" t="n"/>
    </row>
    <row r="346" ht="15" customFormat="1" customHeight="1" s="116">
      <c r="B346" s="117" t="n"/>
      <c r="C346" s="157" t="n"/>
      <c r="D346" s="28" t="n"/>
      <c r="E346" s="29" t="n"/>
      <c r="F346" s="29" t="n"/>
      <c r="G346" s="29" t="n"/>
      <c r="I346" s="156" t="n"/>
      <c r="L346" s="33" t="n"/>
      <c r="M346" s="34" t="n"/>
      <c r="O346" s="34" t="n"/>
      <c r="P346" s="119" t="n"/>
      <c r="Q346" s="34" t="n"/>
      <c r="R346" s="119" t="n"/>
      <c r="T346" s="119" t="n"/>
      <c r="U346" s="34" t="n"/>
      <c r="V346" s="119" t="n"/>
    </row>
    <row r="347" ht="15" customFormat="1" customHeight="1" s="116">
      <c r="B347" s="117" t="n"/>
      <c r="C347" s="157" t="n"/>
      <c r="D347" s="28" t="n"/>
      <c r="E347" s="29" t="n"/>
      <c r="F347" s="29" t="n"/>
      <c r="G347" s="29" t="n"/>
      <c r="I347" s="156" t="n"/>
      <c r="L347" s="33" t="n"/>
      <c r="M347" s="34" t="n"/>
      <c r="O347" s="34" t="n"/>
      <c r="P347" s="119" t="n"/>
      <c r="Q347" s="34" t="n"/>
      <c r="R347" s="119" t="n"/>
      <c r="T347" s="119" t="n"/>
      <c r="U347" s="34" t="n"/>
      <c r="V347" s="119" t="n"/>
    </row>
    <row r="348" ht="15" customFormat="1" customHeight="1" s="116">
      <c r="B348" s="117" t="n"/>
      <c r="C348" s="157" t="n"/>
      <c r="D348" s="28" t="n"/>
      <c r="E348" s="29" t="n"/>
      <c r="F348" s="29" t="n"/>
      <c r="G348" s="29" t="n"/>
      <c r="I348" s="156" t="n"/>
      <c r="L348" s="33" t="n"/>
      <c r="M348" s="34" t="n"/>
      <c r="O348" s="34" t="n"/>
      <c r="P348" s="119" t="n"/>
      <c r="Q348" s="34" t="n"/>
      <c r="R348" s="119" t="n"/>
      <c r="T348" s="119" t="n"/>
      <c r="U348" s="34" t="n"/>
      <c r="V348" s="119" t="n"/>
    </row>
    <row r="349" ht="15" customFormat="1" customHeight="1" s="116">
      <c r="B349" s="117" t="n"/>
      <c r="C349" s="157" t="n"/>
      <c r="D349" s="28" t="n"/>
      <c r="E349" s="29" t="n"/>
      <c r="F349" s="29" t="n"/>
      <c r="G349" s="29" t="n"/>
      <c r="I349" s="156" t="n"/>
      <c r="L349" s="33" t="n"/>
      <c r="M349" s="34" t="n"/>
      <c r="O349" s="34" t="n"/>
      <c r="P349" s="119" t="n"/>
      <c r="Q349" s="34" t="n"/>
      <c r="R349" s="119" t="n"/>
      <c r="T349" s="119" t="n"/>
      <c r="U349" s="34" t="n"/>
      <c r="V349" s="119" t="n"/>
    </row>
    <row r="350" ht="15" customFormat="1" customHeight="1" s="116">
      <c r="B350" s="117" t="n"/>
      <c r="C350" s="157" t="n"/>
      <c r="D350" s="28" t="n"/>
      <c r="E350" s="29" t="n"/>
      <c r="F350" s="29" t="n"/>
      <c r="G350" s="29" t="n"/>
      <c r="I350" s="156" t="n"/>
      <c r="L350" s="33" t="n"/>
      <c r="M350" s="34" t="n"/>
      <c r="O350" s="34" t="n"/>
      <c r="P350" s="119" t="n"/>
      <c r="Q350" s="34" t="n"/>
      <c r="R350" s="119" t="n"/>
      <c r="T350" s="119" t="n"/>
      <c r="U350" s="34" t="n"/>
      <c r="V350" s="119" t="n"/>
    </row>
    <row r="351" ht="15" customFormat="1" customHeight="1" s="116">
      <c r="B351" s="117" t="n"/>
      <c r="C351" s="157" t="n"/>
      <c r="D351" s="28" t="n"/>
      <c r="E351" s="29" t="n"/>
      <c r="F351" s="29" t="n"/>
      <c r="G351" s="29" t="n"/>
      <c r="I351" s="156" t="n"/>
      <c r="L351" s="33" t="n"/>
      <c r="M351" s="34" t="n"/>
      <c r="O351" s="34" t="n"/>
      <c r="P351" s="119" t="n"/>
      <c r="Q351" s="34" t="n"/>
      <c r="R351" s="119" t="n"/>
      <c r="T351" s="119" t="n"/>
      <c r="U351" s="34" t="n"/>
      <c r="V351" s="119" t="n"/>
    </row>
    <row r="352" ht="15" customFormat="1" customHeight="1" s="116">
      <c r="B352" s="117" t="n"/>
      <c r="C352" s="157" t="n"/>
      <c r="D352" s="28" t="n"/>
      <c r="E352" s="29" t="n"/>
      <c r="F352" s="29" t="n"/>
      <c r="G352" s="29" t="n"/>
      <c r="I352" s="156" t="n"/>
      <c r="L352" s="33" t="n"/>
      <c r="M352" s="34" t="n"/>
      <c r="O352" s="34" t="n"/>
      <c r="P352" s="119" t="n"/>
      <c r="Q352" s="34" t="n"/>
      <c r="R352" s="119" t="n"/>
      <c r="T352" s="119" t="n"/>
      <c r="U352" s="34" t="n"/>
      <c r="V352" s="119" t="n"/>
    </row>
    <row r="353" ht="15" customFormat="1" customHeight="1" s="116">
      <c r="B353" s="117" t="n"/>
      <c r="C353" s="157" t="n"/>
      <c r="D353" s="28" t="n"/>
      <c r="E353" s="29" t="n"/>
      <c r="F353" s="29" t="n"/>
      <c r="G353" s="29" t="n"/>
      <c r="I353" s="156" t="n"/>
      <c r="L353" s="33" t="n"/>
      <c r="M353" s="34" t="n"/>
      <c r="O353" s="34" t="n"/>
      <c r="P353" s="119" t="n"/>
      <c r="Q353" s="34" t="n"/>
      <c r="R353" s="119" t="n"/>
      <c r="T353" s="119" t="n"/>
      <c r="U353" s="34" t="n"/>
      <c r="V353" s="119" t="n"/>
    </row>
    <row r="354" ht="15" customFormat="1" customHeight="1" s="116">
      <c r="B354" s="117" t="n"/>
      <c r="C354" s="157" t="n"/>
      <c r="D354" s="28" t="n"/>
      <c r="E354" s="29" t="n"/>
      <c r="F354" s="29" t="n"/>
      <c r="G354" s="29" t="n"/>
      <c r="I354" s="156" t="n"/>
      <c r="L354" s="33" t="n"/>
      <c r="M354" s="34" t="n"/>
      <c r="O354" s="34" t="n"/>
      <c r="P354" s="119" t="n"/>
      <c r="Q354" s="34" t="n"/>
      <c r="R354" s="119" t="n"/>
      <c r="T354" s="119" t="n"/>
      <c r="U354" s="34" t="n"/>
      <c r="V354" s="119" t="n"/>
    </row>
    <row r="355" ht="15" customFormat="1" customHeight="1" s="116">
      <c r="B355" s="117" t="n"/>
      <c r="C355" s="157" t="n"/>
      <c r="D355" s="28" t="n"/>
      <c r="E355" s="29" t="n"/>
      <c r="F355" s="29" t="n"/>
      <c r="G355" s="29" t="n"/>
      <c r="I355" s="156" t="n"/>
      <c r="L355" s="33" t="n"/>
      <c r="M355" s="34" t="n"/>
      <c r="O355" s="34" t="n"/>
      <c r="P355" s="119" t="n"/>
      <c r="Q355" s="34" t="n"/>
      <c r="R355" s="119" t="n"/>
      <c r="T355" s="119" t="n"/>
      <c r="U355" s="34" t="n"/>
      <c r="V355" s="119" t="n"/>
    </row>
    <row r="356" ht="15" customFormat="1" customHeight="1" s="116">
      <c r="B356" s="117" t="n"/>
      <c r="C356" s="157" t="n"/>
      <c r="D356" s="28" t="n"/>
      <c r="E356" s="29" t="n"/>
      <c r="F356" s="29" t="n"/>
      <c r="G356" s="29" t="n"/>
      <c r="I356" s="156" t="n"/>
      <c r="L356" s="33" t="n"/>
      <c r="M356" s="34" t="n"/>
      <c r="O356" s="34" t="n"/>
      <c r="P356" s="119" t="n"/>
      <c r="Q356" s="34" t="n"/>
      <c r="R356" s="119" t="n"/>
      <c r="T356" s="119" t="n"/>
      <c r="U356" s="34" t="n"/>
      <c r="V356" s="119" t="n"/>
    </row>
    <row r="357" ht="15" customFormat="1" customHeight="1" s="116">
      <c r="B357" s="117" t="n"/>
      <c r="C357" s="157" t="n"/>
      <c r="D357" s="28" t="n"/>
      <c r="E357" s="29" t="n"/>
      <c r="F357" s="29" t="n"/>
      <c r="G357" s="29" t="n"/>
      <c r="I357" s="156" t="n"/>
      <c r="L357" s="33" t="n"/>
      <c r="M357" s="34" t="n"/>
      <c r="O357" s="34" t="n"/>
      <c r="P357" s="119" t="n"/>
      <c r="Q357" s="34" t="n"/>
      <c r="R357" s="119" t="n"/>
      <c r="T357" s="119" t="n"/>
      <c r="U357" s="34" t="n"/>
      <c r="V357" s="119" t="n"/>
    </row>
    <row r="358" ht="15" customFormat="1" customHeight="1" s="116">
      <c r="B358" s="117" t="n"/>
      <c r="C358" s="157" t="n"/>
      <c r="D358" s="28" t="n"/>
      <c r="E358" s="29" t="n"/>
      <c r="F358" s="29" t="n"/>
      <c r="G358" s="29" t="n"/>
      <c r="I358" s="156" t="n"/>
      <c r="L358" s="33" t="n"/>
      <c r="M358" s="34" t="n"/>
      <c r="O358" s="34" t="n"/>
      <c r="P358" s="119" t="n"/>
      <c r="Q358" s="34" t="n"/>
      <c r="R358" s="119" t="n"/>
      <c r="T358" s="119" t="n"/>
      <c r="U358" s="34" t="n"/>
      <c r="V358" s="119" t="n"/>
    </row>
    <row r="359" ht="15" customFormat="1" customHeight="1" s="116">
      <c r="B359" s="117" t="n"/>
      <c r="C359" s="157" t="n"/>
      <c r="D359" s="28" t="n"/>
      <c r="E359" s="29" t="n"/>
      <c r="F359" s="29" t="n"/>
      <c r="G359" s="29" t="n"/>
      <c r="I359" s="156" t="n"/>
      <c r="L359" s="33" t="n"/>
      <c r="M359" s="34" t="n"/>
      <c r="O359" s="34" t="n"/>
      <c r="P359" s="119" t="n"/>
      <c r="Q359" s="34" t="n"/>
      <c r="R359" s="119" t="n"/>
      <c r="T359" s="119" t="n"/>
      <c r="U359" s="34" t="n"/>
      <c r="V359" s="119" t="n"/>
    </row>
    <row r="360" ht="15" customFormat="1" customHeight="1" s="116">
      <c r="B360" s="117" t="n"/>
      <c r="C360" s="157" t="n"/>
      <c r="D360" s="28" t="n"/>
      <c r="E360" s="29" t="n"/>
      <c r="F360" s="29" t="n"/>
      <c r="G360" s="29" t="n"/>
      <c r="I360" s="156" t="n"/>
      <c r="L360" s="33" t="n"/>
      <c r="M360" s="34" t="n"/>
      <c r="O360" s="34" t="n"/>
      <c r="P360" s="119" t="n"/>
      <c r="Q360" s="34" t="n"/>
      <c r="R360" s="119" t="n"/>
      <c r="T360" s="119" t="n"/>
      <c r="U360" s="34" t="n"/>
      <c r="V360" s="119" t="n"/>
    </row>
    <row r="361" ht="15" customFormat="1" customHeight="1" s="116">
      <c r="B361" s="117" t="n"/>
      <c r="C361" s="157" t="n"/>
      <c r="D361" s="28" t="n"/>
      <c r="E361" s="29" t="n"/>
      <c r="F361" s="29" t="n"/>
      <c r="G361" s="29" t="n"/>
      <c r="I361" s="156" t="n"/>
      <c r="L361" s="33" t="n"/>
      <c r="M361" s="34" t="n"/>
      <c r="O361" s="34" t="n"/>
      <c r="P361" s="119" t="n"/>
      <c r="Q361" s="34" t="n"/>
      <c r="R361" s="119" t="n"/>
      <c r="T361" s="119" t="n"/>
      <c r="U361" s="34" t="n"/>
      <c r="V361" s="119" t="n"/>
    </row>
    <row r="362" ht="15" customFormat="1" customHeight="1" s="116">
      <c r="B362" s="117" t="n"/>
      <c r="C362" s="157" t="n"/>
      <c r="D362" s="28" t="n"/>
      <c r="E362" s="29" t="n"/>
      <c r="F362" s="29" t="n"/>
      <c r="G362" s="29" t="n"/>
      <c r="I362" s="156" t="n"/>
      <c r="L362" s="33" t="n"/>
      <c r="M362" s="34" t="n"/>
      <c r="O362" s="34" t="n"/>
      <c r="P362" s="119" t="n"/>
      <c r="Q362" s="34" t="n"/>
      <c r="R362" s="119" t="n"/>
      <c r="T362" s="119" t="n"/>
      <c r="U362" s="34" t="n"/>
      <c r="V362" s="119" t="n"/>
    </row>
    <row r="363" ht="15" customFormat="1" customHeight="1" s="116">
      <c r="B363" s="117" t="n"/>
      <c r="C363" s="157" t="n"/>
      <c r="D363" s="28" t="n"/>
      <c r="E363" s="29" t="n"/>
      <c r="F363" s="29" t="n"/>
      <c r="G363" s="29" t="n"/>
      <c r="I363" s="156" t="n"/>
      <c r="L363" s="33" t="n"/>
      <c r="M363" s="34" t="n"/>
      <c r="O363" s="34" t="n"/>
      <c r="P363" s="119" t="n"/>
      <c r="Q363" s="34" t="n"/>
      <c r="R363" s="119" t="n"/>
      <c r="T363" s="119" t="n"/>
      <c r="U363" s="34" t="n"/>
      <c r="V363" s="119" t="n"/>
    </row>
    <row r="364" ht="15" customFormat="1" customHeight="1" s="116">
      <c r="B364" s="117" t="n"/>
      <c r="C364" s="157" t="n"/>
      <c r="D364" s="28" t="n"/>
      <c r="E364" s="29" t="n"/>
      <c r="F364" s="29" t="n"/>
      <c r="G364" s="29" t="n"/>
      <c r="I364" s="156" t="n"/>
      <c r="L364" s="33" t="n"/>
      <c r="M364" s="34" t="n"/>
      <c r="O364" s="34" t="n"/>
      <c r="P364" s="119" t="n"/>
      <c r="Q364" s="34" t="n"/>
      <c r="R364" s="119" t="n"/>
      <c r="T364" s="119" t="n"/>
      <c r="U364" s="34" t="n"/>
      <c r="V364" s="119" t="n"/>
    </row>
    <row r="365" ht="15" customFormat="1" customHeight="1" s="116">
      <c r="B365" s="117" t="n"/>
      <c r="C365" s="157" t="n"/>
      <c r="D365" s="28" t="n"/>
      <c r="E365" s="29" t="n"/>
      <c r="F365" s="29" t="n"/>
      <c r="G365" s="29" t="n"/>
      <c r="I365" s="156" t="n"/>
      <c r="L365" s="33" t="n"/>
      <c r="M365" s="34" t="n"/>
      <c r="O365" s="34" t="n"/>
      <c r="P365" s="119" t="n"/>
      <c r="Q365" s="34" t="n"/>
      <c r="R365" s="119" t="n"/>
      <c r="T365" s="119" t="n"/>
      <c r="U365" s="34" t="n"/>
      <c r="V365" s="119" t="n"/>
    </row>
    <row r="366" ht="15" customFormat="1" customHeight="1" s="116">
      <c r="B366" s="117" t="n"/>
      <c r="C366" s="157" t="n"/>
      <c r="D366" s="28" t="n"/>
      <c r="E366" s="29" t="n"/>
      <c r="F366" s="29" t="n"/>
      <c r="G366" s="29" t="n"/>
      <c r="I366" s="156" t="n"/>
      <c r="L366" s="33" t="n"/>
      <c r="M366" s="34" t="n"/>
      <c r="O366" s="34" t="n"/>
      <c r="P366" s="119" t="n"/>
      <c r="Q366" s="34" t="n"/>
      <c r="R366" s="119" t="n"/>
      <c r="T366" s="119" t="n"/>
      <c r="U366" s="34" t="n"/>
      <c r="V366" s="119" t="n"/>
    </row>
    <row r="367" ht="15" customFormat="1" customHeight="1" s="116">
      <c r="B367" s="117" t="n"/>
      <c r="C367" s="157" t="n"/>
      <c r="D367" s="28" t="n"/>
      <c r="E367" s="29" t="n"/>
      <c r="F367" s="29" t="n"/>
      <c r="G367" s="29" t="n"/>
      <c r="I367" s="156" t="n"/>
      <c r="L367" s="33" t="n"/>
      <c r="M367" s="34" t="n"/>
      <c r="O367" s="34" t="n"/>
      <c r="P367" s="119" t="n"/>
      <c r="Q367" s="34" t="n"/>
      <c r="R367" s="119" t="n"/>
      <c r="T367" s="119" t="n"/>
      <c r="U367" s="34" t="n"/>
      <c r="V367" s="119" t="n"/>
    </row>
    <row r="368" ht="15" customFormat="1" customHeight="1" s="116">
      <c r="B368" s="117" t="n"/>
      <c r="C368" s="157" t="n"/>
      <c r="D368" s="28" t="n"/>
      <c r="E368" s="29" t="n"/>
      <c r="F368" s="29" t="n"/>
      <c r="G368" s="29" t="n"/>
      <c r="I368" s="156" t="n"/>
      <c r="L368" s="33" t="n"/>
      <c r="M368" s="34" t="n"/>
      <c r="O368" s="34" t="n"/>
      <c r="P368" s="119" t="n"/>
      <c r="Q368" s="34" t="n"/>
      <c r="R368" s="119" t="n"/>
      <c r="T368" s="119" t="n"/>
      <c r="U368" s="34" t="n"/>
      <c r="V368" s="119" t="n"/>
    </row>
    <row r="369" ht="15" customFormat="1" customHeight="1" s="116">
      <c r="B369" s="117" t="n"/>
      <c r="C369" s="157" t="n"/>
      <c r="D369" s="28" t="n"/>
      <c r="E369" s="29" t="n"/>
      <c r="F369" s="29" t="n"/>
      <c r="G369" s="29" t="n"/>
      <c r="I369" s="156" t="n"/>
      <c r="L369" s="33" t="n"/>
      <c r="M369" s="34" t="n"/>
      <c r="O369" s="34" t="n"/>
      <c r="P369" s="119" t="n"/>
      <c r="Q369" s="34" t="n"/>
      <c r="R369" s="119" t="n"/>
      <c r="T369" s="119" t="n"/>
      <c r="U369" s="34" t="n"/>
      <c r="V369" s="119" t="n"/>
    </row>
    <row r="370" ht="15" customFormat="1" customHeight="1" s="116">
      <c r="B370" s="117" t="n"/>
      <c r="C370" s="157" t="n"/>
      <c r="D370" s="28" t="n"/>
      <c r="E370" s="29" t="n"/>
      <c r="F370" s="29" t="n"/>
      <c r="G370" s="29" t="n"/>
      <c r="I370" s="156" t="n"/>
      <c r="L370" s="33" t="n"/>
      <c r="M370" s="34" t="n"/>
      <c r="O370" s="34" t="n"/>
      <c r="P370" s="119" t="n"/>
      <c r="Q370" s="34" t="n"/>
      <c r="R370" s="119" t="n"/>
      <c r="T370" s="119" t="n"/>
      <c r="U370" s="34" t="n"/>
      <c r="V370" s="119" t="n"/>
    </row>
    <row r="371" ht="15" customFormat="1" customHeight="1" s="116">
      <c r="B371" s="117" t="n"/>
      <c r="C371" s="157" t="n"/>
      <c r="D371" s="28" t="n"/>
      <c r="E371" s="29" t="n"/>
      <c r="F371" s="29" t="n"/>
      <c r="G371" s="29" t="n"/>
      <c r="I371" s="156" t="n"/>
      <c r="L371" s="33" t="n"/>
      <c r="M371" s="34" t="n"/>
      <c r="O371" s="34" t="n"/>
      <c r="P371" s="119" t="n"/>
      <c r="Q371" s="34" t="n"/>
      <c r="R371" s="119" t="n"/>
      <c r="T371" s="119" t="n"/>
      <c r="U371" s="34" t="n"/>
      <c r="V371" s="119" t="n"/>
    </row>
    <row r="372" ht="15" customFormat="1" customHeight="1" s="116">
      <c r="B372" s="117" t="n"/>
      <c r="C372" s="157" t="n"/>
      <c r="D372" s="28" t="n"/>
      <c r="E372" s="29" t="n"/>
      <c r="F372" s="29" t="n"/>
      <c r="G372" s="29" t="n"/>
      <c r="I372" s="156" t="n"/>
      <c r="L372" s="33" t="n"/>
      <c r="M372" s="34" t="n"/>
      <c r="O372" s="34" t="n"/>
      <c r="P372" s="119" t="n"/>
      <c r="Q372" s="34" t="n"/>
      <c r="R372" s="119" t="n"/>
      <c r="T372" s="119" t="n"/>
      <c r="U372" s="34" t="n"/>
      <c r="V372" s="119" t="n"/>
    </row>
    <row r="373" ht="15" customFormat="1" customHeight="1" s="116">
      <c r="B373" s="117" t="n"/>
      <c r="C373" s="157" t="n"/>
      <c r="D373" s="28" t="n"/>
      <c r="E373" s="29" t="n"/>
      <c r="F373" s="29" t="n"/>
      <c r="G373" s="29" t="n"/>
      <c r="I373" s="156" t="n"/>
      <c r="L373" s="33" t="n"/>
      <c r="M373" s="34" t="n"/>
      <c r="O373" s="34" t="n"/>
      <c r="P373" s="119" t="n"/>
      <c r="Q373" s="34" t="n"/>
      <c r="R373" s="119" t="n"/>
      <c r="T373" s="119" t="n"/>
      <c r="U373" s="34" t="n"/>
      <c r="V373" s="119" t="n"/>
    </row>
    <row r="374" ht="15" customFormat="1" customHeight="1" s="116">
      <c r="B374" s="117" t="n"/>
      <c r="C374" s="157" t="n"/>
      <c r="D374" s="28" t="n"/>
      <c r="E374" s="29" t="n"/>
      <c r="F374" s="29" t="n"/>
      <c r="G374" s="29" t="n"/>
      <c r="I374" s="156" t="n"/>
      <c r="L374" s="33" t="n"/>
      <c r="M374" s="34" t="n"/>
      <c r="O374" s="34" t="n"/>
      <c r="P374" s="119" t="n"/>
      <c r="Q374" s="34" t="n"/>
      <c r="R374" s="119" t="n"/>
      <c r="T374" s="119" t="n"/>
      <c r="U374" s="34" t="n"/>
      <c r="V374" s="119" t="n"/>
    </row>
    <row r="375" ht="15" customFormat="1" customHeight="1" s="116">
      <c r="B375" s="117" t="n"/>
      <c r="C375" s="157" t="n"/>
      <c r="D375" s="28" t="n"/>
      <c r="E375" s="29" t="n"/>
      <c r="F375" s="29" t="n"/>
      <c r="G375" s="29" t="n"/>
      <c r="I375" s="156" t="n"/>
      <c r="L375" s="33" t="n"/>
      <c r="M375" s="34" t="n"/>
      <c r="O375" s="34" t="n"/>
      <c r="P375" s="119" t="n"/>
      <c r="Q375" s="34" t="n"/>
      <c r="R375" s="119" t="n"/>
      <c r="T375" s="119" t="n"/>
      <c r="U375" s="34" t="n"/>
      <c r="V375" s="119" t="n"/>
    </row>
    <row r="376" ht="15" customFormat="1" customHeight="1" s="116">
      <c r="B376" s="117" t="n"/>
      <c r="C376" s="157" t="n"/>
      <c r="D376" s="28" t="n"/>
      <c r="E376" s="29" t="n"/>
      <c r="F376" s="29" t="n"/>
      <c r="G376" s="29" t="n"/>
      <c r="I376" s="156" t="n"/>
      <c r="L376" s="33" t="n"/>
      <c r="M376" s="34" t="n"/>
      <c r="O376" s="34" t="n"/>
      <c r="P376" s="119" t="n"/>
      <c r="Q376" s="34" t="n"/>
      <c r="R376" s="119" t="n"/>
      <c r="T376" s="119" t="n"/>
      <c r="U376" s="34" t="n"/>
      <c r="V376" s="119" t="n"/>
    </row>
    <row r="377" ht="15" customFormat="1" customHeight="1" s="116">
      <c r="B377" s="117" t="n"/>
      <c r="C377" s="157" t="n"/>
      <c r="D377" s="28" t="n"/>
      <c r="E377" s="29" t="n"/>
      <c r="F377" s="29" t="n"/>
      <c r="G377" s="29" t="n"/>
      <c r="I377" s="156" t="n"/>
      <c r="L377" s="33" t="n"/>
      <c r="M377" s="34" t="n"/>
      <c r="O377" s="34" t="n"/>
      <c r="P377" s="119" t="n"/>
      <c r="Q377" s="34" t="n"/>
      <c r="R377" s="119" t="n"/>
      <c r="T377" s="119" t="n"/>
      <c r="U377" s="34" t="n"/>
      <c r="V377" s="119" t="n"/>
    </row>
    <row r="378" ht="15" customFormat="1" customHeight="1" s="116">
      <c r="B378" s="117" t="n"/>
      <c r="C378" s="157" t="n"/>
      <c r="D378" s="28" t="n"/>
      <c r="E378" s="29" t="n"/>
      <c r="F378" s="29" t="n"/>
      <c r="G378" s="29" t="n"/>
      <c r="I378" s="156" t="n"/>
      <c r="L378" s="33" t="n"/>
      <c r="M378" s="34" t="n"/>
      <c r="O378" s="34" t="n"/>
      <c r="P378" s="119" t="n"/>
      <c r="Q378" s="34" t="n"/>
      <c r="R378" s="119" t="n"/>
      <c r="T378" s="119" t="n"/>
      <c r="U378" s="34" t="n"/>
      <c r="V378" s="119" t="n"/>
    </row>
    <row r="379" ht="15" customFormat="1" customHeight="1" s="116">
      <c r="B379" s="117" t="n"/>
      <c r="C379" s="157" t="n"/>
      <c r="D379" s="28" t="n"/>
      <c r="E379" s="29" t="n"/>
      <c r="F379" s="29" t="n"/>
      <c r="G379" s="29" t="n"/>
      <c r="I379" s="156" t="n"/>
      <c r="L379" s="33" t="n"/>
      <c r="M379" s="34" t="n"/>
      <c r="O379" s="34" t="n"/>
      <c r="P379" s="119" t="n"/>
      <c r="Q379" s="34" t="n"/>
      <c r="R379" s="119" t="n"/>
      <c r="T379" s="119" t="n"/>
      <c r="U379" s="34" t="n"/>
      <c r="V379" s="119" t="n"/>
    </row>
    <row r="380" ht="15" customFormat="1" customHeight="1" s="116">
      <c r="B380" s="117" t="n"/>
      <c r="C380" s="157" t="n"/>
      <c r="D380" s="28" t="n"/>
      <c r="E380" s="29" t="n"/>
      <c r="F380" s="29" t="n"/>
      <c r="G380" s="29" t="n"/>
      <c r="I380" s="156" t="n"/>
      <c r="L380" s="33" t="n"/>
      <c r="M380" s="34" t="n"/>
      <c r="O380" s="34" t="n"/>
      <c r="P380" s="119" t="n"/>
      <c r="Q380" s="34" t="n"/>
      <c r="R380" s="119" t="n"/>
      <c r="T380" s="119" t="n"/>
      <c r="U380" s="34" t="n"/>
      <c r="V380" s="119" t="n"/>
    </row>
    <row r="381" ht="15" customFormat="1" customHeight="1" s="116">
      <c r="B381" s="117" t="n"/>
      <c r="C381" s="157" t="n"/>
      <c r="D381" s="28" t="n"/>
      <c r="E381" s="29" t="n"/>
      <c r="F381" s="29" t="n"/>
      <c r="G381" s="29" t="n"/>
      <c r="I381" s="156" t="n"/>
      <c r="L381" s="33" t="n"/>
      <c r="M381" s="34" t="n"/>
      <c r="O381" s="34" t="n"/>
      <c r="P381" s="119" t="n"/>
      <c r="Q381" s="34" t="n"/>
      <c r="R381" s="119" t="n"/>
      <c r="T381" s="119" t="n"/>
      <c r="U381" s="34" t="n"/>
      <c r="V381" s="119" t="n"/>
    </row>
    <row r="382" ht="15" customFormat="1" customHeight="1" s="116">
      <c r="B382" s="117" t="n"/>
      <c r="C382" s="157" t="n"/>
      <c r="D382" s="28" t="n"/>
      <c r="E382" s="29" t="n"/>
      <c r="F382" s="29" t="n"/>
      <c r="G382" s="29" t="n"/>
      <c r="I382" s="156" t="n"/>
      <c r="L382" s="33" t="n"/>
      <c r="M382" s="34" t="n"/>
      <c r="O382" s="34" t="n"/>
      <c r="P382" s="119" t="n"/>
      <c r="Q382" s="34" t="n"/>
      <c r="R382" s="119" t="n"/>
      <c r="T382" s="119" t="n"/>
      <c r="U382" s="34" t="n"/>
      <c r="V382" s="119" t="n"/>
    </row>
    <row r="383" ht="15" customFormat="1" customHeight="1" s="116">
      <c r="B383" s="117" t="n"/>
      <c r="C383" s="157" t="n"/>
      <c r="D383" s="28" t="n"/>
      <c r="E383" s="29" t="n"/>
      <c r="F383" s="29" t="n"/>
      <c r="G383" s="29" t="n"/>
      <c r="I383" s="156" t="n"/>
      <c r="L383" s="33" t="n"/>
      <c r="M383" s="34" t="n"/>
      <c r="O383" s="34" t="n"/>
      <c r="P383" s="119" t="n"/>
      <c r="Q383" s="34" t="n"/>
      <c r="R383" s="119" t="n"/>
      <c r="T383" s="119" t="n"/>
      <c r="U383" s="34" t="n"/>
      <c r="V383" s="119" t="n"/>
    </row>
    <row r="384" ht="15" customFormat="1" customHeight="1" s="116">
      <c r="B384" s="117" t="n"/>
      <c r="C384" s="157" t="n"/>
      <c r="D384" s="28" t="n"/>
      <c r="E384" s="29" t="n"/>
      <c r="F384" s="29" t="n"/>
      <c r="G384" s="29" t="n"/>
      <c r="I384" s="156" t="n"/>
      <c r="L384" s="33" t="n"/>
      <c r="M384" s="34" t="n"/>
      <c r="O384" s="34" t="n"/>
      <c r="P384" s="119" t="n"/>
      <c r="Q384" s="34" t="n"/>
      <c r="R384" s="119" t="n"/>
      <c r="T384" s="119" t="n"/>
      <c r="U384" s="34" t="n"/>
      <c r="V384" s="119" t="n"/>
    </row>
    <row r="385" ht="15" customFormat="1" customHeight="1" s="116">
      <c r="B385" s="117" t="n"/>
      <c r="C385" s="157" t="n"/>
      <c r="D385" s="28" t="n"/>
      <c r="E385" s="29" t="n"/>
      <c r="F385" s="29" t="n"/>
      <c r="G385" s="29" t="n"/>
      <c r="I385" s="156" t="n"/>
      <c r="L385" s="33" t="n"/>
      <c r="M385" s="34" t="n"/>
      <c r="O385" s="34" t="n"/>
      <c r="P385" s="119" t="n"/>
      <c r="Q385" s="34" t="n"/>
      <c r="R385" s="119" t="n"/>
      <c r="T385" s="119" t="n"/>
      <c r="U385" s="34" t="n"/>
      <c r="V385" s="119" t="n"/>
    </row>
    <row r="386" ht="15" customFormat="1" customHeight="1" s="116">
      <c r="B386" s="117" t="n"/>
      <c r="C386" s="157" t="n"/>
      <c r="D386" s="28" t="n"/>
      <c r="E386" s="29" t="n"/>
      <c r="F386" s="29" t="n"/>
      <c r="G386" s="29" t="n"/>
      <c r="I386" s="156" t="n"/>
      <c r="L386" s="33" t="n"/>
      <c r="M386" s="34" t="n"/>
      <c r="O386" s="34" t="n"/>
      <c r="P386" s="119" t="n"/>
      <c r="Q386" s="34" t="n"/>
      <c r="R386" s="119" t="n"/>
      <c r="T386" s="119" t="n"/>
      <c r="U386" s="34" t="n"/>
      <c r="V386" s="119" t="n"/>
    </row>
    <row r="387" ht="15" customFormat="1" customHeight="1" s="116">
      <c r="B387" s="117" t="n"/>
      <c r="C387" s="157" t="n"/>
      <c r="D387" s="28" t="n"/>
      <c r="E387" s="29" t="n"/>
      <c r="F387" s="29" t="n"/>
      <c r="G387" s="29" t="n"/>
      <c r="I387" s="156" t="n"/>
      <c r="L387" s="33" t="n"/>
      <c r="M387" s="34" t="n"/>
      <c r="O387" s="34" t="n"/>
      <c r="P387" s="119" t="n"/>
      <c r="Q387" s="34" t="n"/>
      <c r="R387" s="119" t="n"/>
      <c r="T387" s="119" t="n"/>
      <c r="U387" s="34" t="n"/>
      <c r="V387" s="119" t="n"/>
    </row>
    <row r="388" ht="15" customFormat="1" customHeight="1" s="116">
      <c r="B388" s="117" t="n"/>
      <c r="C388" s="157" t="n"/>
      <c r="D388" s="28" t="n"/>
      <c r="E388" s="29" t="n"/>
      <c r="F388" s="29" t="n"/>
      <c r="G388" s="29" t="n"/>
      <c r="I388" s="156" t="n"/>
      <c r="L388" s="33" t="n"/>
      <c r="M388" s="34" t="n"/>
      <c r="O388" s="34" t="n"/>
      <c r="P388" s="119" t="n"/>
      <c r="Q388" s="34" t="n"/>
      <c r="R388" s="119" t="n"/>
      <c r="T388" s="119" t="n"/>
      <c r="U388" s="34" t="n"/>
      <c r="V388" s="119" t="n"/>
    </row>
    <row r="389" ht="15" customFormat="1" customHeight="1" s="116">
      <c r="B389" s="117" t="n"/>
      <c r="C389" s="157" t="n"/>
      <c r="D389" s="28" t="n"/>
      <c r="E389" s="29" t="n"/>
      <c r="F389" s="29" t="n"/>
      <c r="G389" s="29" t="n"/>
      <c r="I389" s="156" t="n"/>
      <c r="L389" s="33" t="n"/>
      <c r="M389" s="34" t="n"/>
      <c r="O389" s="34" t="n"/>
      <c r="P389" s="119" t="n"/>
      <c r="Q389" s="34" t="n"/>
      <c r="R389" s="119" t="n"/>
      <c r="T389" s="119" t="n"/>
      <c r="U389" s="34" t="n"/>
      <c r="V389" s="119" t="n"/>
    </row>
    <row r="390" ht="15" customFormat="1" customHeight="1" s="116">
      <c r="B390" s="117" t="n"/>
      <c r="C390" s="157" t="n"/>
      <c r="D390" s="28" t="n"/>
      <c r="E390" s="29" t="n"/>
      <c r="F390" s="29" t="n"/>
      <c r="G390" s="29" t="n"/>
      <c r="I390" s="156" t="n"/>
      <c r="L390" s="33" t="n"/>
      <c r="M390" s="34" t="n"/>
      <c r="O390" s="34" t="n"/>
      <c r="P390" s="119" t="n"/>
      <c r="Q390" s="34" t="n"/>
      <c r="R390" s="119" t="n"/>
      <c r="T390" s="119" t="n"/>
      <c r="U390" s="34" t="n"/>
      <c r="V390" s="119" t="n"/>
    </row>
    <row r="391" ht="15" customFormat="1" customHeight="1" s="116">
      <c r="B391" s="117" t="n"/>
      <c r="C391" s="157" t="n"/>
      <c r="D391" s="28" t="n"/>
      <c r="E391" s="29" t="n"/>
      <c r="F391" s="29" t="n"/>
      <c r="G391" s="29" t="n"/>
      <c r="I391" s="156" t="n"/>
      <c r="L391" s="33" t="n"/>
      <c r="M391" s="34" t="n"/>
      <c r="O391" s="34" t="n"/>
      <c r="P391" s="119" t="n"/>
      <c r="Q391" s="34" t="n"/>
      <c r="R391" s="119" t="n"/>
      <c r="T391" s="119" t="n"/>
      <c r="U391" s="34" t="n"/>
      <c r="V391" s="119" t="n"/>
    </row>
    <row r="392" ht="15" customFormat="1" customHeight="1" s="116">
      <c r="B392" s="117" t="n"/>
      <c r="C392" s="157" t="n"/>
      <c r="D392" s="28" t="n"/>
      <c r="E392" s="29" t="n"/>
      <c r="F392" s="29" t="n"/>
      <c r="G392" s="29" t="n"/>
      <c r="I392" s="156" t="n"/>
      <c r="L392" s="33" t="n"/>
      <c r="M392" s="34" t="n"/>
      <c r="O392" s="34" t="n"/>
      <c r="P392" s="119" t="n"/>
      <c r="Q392" s="34" t="n"/>
      <c r="R392" s="119" t="n"/>
      <c r="T392" s="119" t="n"/>
      <c r="U392" s="34" t="n"/>
      <c r="V392" s="119" t="n"/>
    </row>
    <row r="393" ht="15" customFormat="1" customHeight="1" s="116">
      <c r="B393" s="117" t="n"/>
      <c r="C393" s="157" t="n"/>
      <c r="D393" s="28" t="n"/>
      <c r="E393" s="29" t="n"/>
      <c r="F393" s="29" t="n"/>
      <c r="G393" s="29" t="n"/>
      <c r="I393" s="156" t="n"/>
      <c r="L393" s="33" t="n"/>
      <c r="M393" s="34" t="n"/>
      <c r="O393" s="34" t="n"/>
      <c r="P393" s="119" t="n"/>
      <c r="Q393" s="34" t="n"/>
      <c r="R393" s="119" t="n"/>
      <c r="T393" s="119" t="n"/>
      <c r="U393" s="34" t="n"/>
      <c r="V393" s="119" t="n"/>
    </row>
    <row r="394" ht="15" customFormat="1" customHeight="1" s="116">
      <c r="B394" s="117" t="n"/>
      <c r="C394" s="157" t="n"/>
      <c r="D394" s="28" t="n"/>
      <c r="E394" s="29" t="n"/>
      <c r="F394" s="29" t="n"/>
      <c r="G394" s="29" t="n"/>
      <c r="I394" s="156" t="n"/>
      <c r="L394" s="33" t="n"/>
      <c r="M394" s="34" t="n"/>
      <c r="O394" s="34" t="n"/>
      <c r="P394" s="119" t="n"/>
      <c r="Q394" s="34" t="n"/>
      <c r="R394" s="119" t="n"/>
      <c r="T394" s="119" t="n"/>
      <c r="U394" s="34" t="n"/>
      <c r="V394" s="119" t="n"/>
    </row>
    <row r="395" ht="15" customFormat="1" customHeight="1" s="116">
      <c r="B395" s="117" t="n"/>
      <c r="C395" s="157" t="n"/>
      <c r="D395" s="28" t="n"/>
      <c r="E395" s="29" t="n"/>
      <c r="F395" s="29" t="n"/>
      <c r="G395" s="29" t="n"/>
      <c r="I395" s="156" t="n"/>
      <c r="L395" s="33" t="n"/>
      <c r="M395" s="34" t="n"/>
      <c r="O395" s="34" t="n"/>
      <c r="P395" s="119" t="n"/>
      <c r="Q395" s="34" t="n"/>
      <c r="R395" s="119" t="n"/>
      <c r="T395" s="119" t="n"/>
      <c r="U395" s="34" t="n"/>
      <c r="V395" s="119" t="n"/>
    </row>
    <row r="396" ht="15" customFormat="1" customHeight="1" s="116">
      <c r="B396" s="117" t="n"/>
      <c r="C396" s="157" t="n"/>
      <c r="D396" s="28" t="n"/>
      <c r="E396" s="29" t="n"/>
      <c r="F396" s="29" t="n"/>
      <c r="G396" s="29" t="n"/>
      <c r="I396" s="156" t="n"/>
      <c r="L396" s="33" t="n"/>
      <c r="M396" s="34" t="n"/>
      <c r="O396" s="34" t="n"/>
      <c r="P396" s="119" t="n"/>
      <c r="Q396" s="34" t="n"/>
      <c r="R396" s="119" t="n"/>
      <c r="T396" s="119" t="n"/>
      <c r="U396" s="34" t="n"/>
      <c r="V396" s="119" t="n"/>
    </row>
    <row r="397" ht="15" customFormat="1" customHeight="1" s="116">
      <c r="B397" s="117" t="n"/>
      <c r="C397" s="157" t="n"/>
      <c r="D397" s="28" t="n"/>
      <c r="E397" s="29" t="n"/>
      <c r="F397" s="29" t="n"/>
      <c r="G397" s="29" t="n"/>
      <c r="I397" s="156" t="n"/>
      <c r="L397" s="33" t="n"/>
      <c r="M397" s="34" t="n"/>
      <c r="O397" s="34" t="n"/>
      <c r="P397" s="119" t="n"/>
      <c r="Q397" s="34" t="n"/>
      <c r="R397" s="119" t="n"/>
      <c r="T397" s="119" t="n"/>
      <c r="U397" s="34" t="n"/>
      <c r="V397" s="119" t="n"/>
    </row>
    <row r="398" ht="15" customFormat="1" customHeight="1" s="116">
      <c r="B398" s="117" t="n"/>
      <c r="C398" s="157" t="n"/>
      <c r="D398" s="28" t="n"/>
      <c r="E398" s="29" t="n"/>
      <c r="F398" s="29" t="n"/>
      <c r="G398" s="29" t="n"/>
      <c r="I398" s="156" t="n"/>
      <c r="L398" s="33" t="n"/>
      <c r="M398" s="34" t="n"/>
      <c r="O398" s="34" t="n"/>
      <c r="P398" s="119" t="n"/>
      <c r="Q398" s="34" t="n"/>
      <c r="R398" s="119" t="n"/>
      <c r="T398" s="119" t="n"/>
      <c r="U398" s="34" t="n"/>
      <c r="V398" s="119" t="n"/>
    </row>
    <row r="399" ht="15" customFormat="1" customHeight="1" s="116">
      <c r="B399" s="117" t="n"/>
      <c r="C399" s="157" t="n"/>
      <c r="D399" s="28" t="n"/>
      <c r="E399" s="29" t="n"/>
      <c r="F399" s="29" t="n"/>
      <c r="G399" s="29" t="n"/>
      <c r="I399" s="156" t="n"/>
      <c r="L399" s="33" t="n"/>
      <c r="M399" s="34" t="n"/>
      <c r="O399" s="34" t="n"/>
      <c r="P399" s="119" t="n"/>
      <c r="Q399" s="34" t="n"/>
      <c r="R399" s="119" t="n"/>
      <c r="T399" s="119" t="n"/>
      <c r="U399" s="34" t="n"/>
      <c r="V399" s="119" t="n"/>
    </row>
    <row r="400" ht="15" customFormat="1" customHeight="1" s="116">
      <c r="B400" s="117" t="n"/>
      <c r="C400" s="157" t="n"/>
      <c r="D400" s="28" t="n"/>
      <c r="E400" s="29" t="n"/>
      <c r="F400" s="29" t="n"/>
      <c r="G400" s="29" t="n"/>
      <c r="I400" s="156" t="n"/>
      <c r="L400" s="33" t="n"/>
      <c r="M400" s="34" t="n"/>
      <c r="O400" s="34" t="n"/>
      <c r="P400" s="119" t="n"/>
      <c r="Q400" s="34" t="n"/>
      <c r="R400" s="119" t="n"/>
      <c r="T400" s="119" t="n"/>
      <c r="U400" s="34" t="n"/>
      <c r="V400" s="119" t="n"/>
    </row>
    <row r="401" ht="15" customFormat="1" customHeight="1" s="116">
      <c r="B401" s="117" t="n"/>
      <c r="C401" s="157" t="n"/>
      <c r="D401" s="28" t="n"/>
      <c r="E401" s="29" t="n"/>
      <c r="F401" s="29" t="n"/>
      <c r="G401" s="29" t="n"/>
      <c r="I401" s="156" t="n"/>
      <c r="L401" s="33" t="n"/>
      <c r="M401" s="34" t="n"/>
      <c r="O401" s="34" t="n"/>
      <c r="P401" s="119" t="n"/>
      <c r="Q401" s="34" t="n"/>
      <c r="R401" s="119" t="n"/>
      <c r="T401" s="119" t="n"/>
      <c r="U401" s="34" t="n"/>
      <c r="V401" s="119" t="n"/>
    </row>
    <row r="402" ht="15" customFormat="1" customHeight="1" s="116">
      <c r="B402" s="117" t="n"/>
      <c r="C402" s="157" t="n"/>
      <c r="D402" s="28" t="n"/>
      <c r="E402" s="29" t="n"/>
      <c r="F402" s="29" t="n"/>
      <c r="G402" s="29" t="n"/>
      <c r="I402" s="156" t="n"/>
      <c r="L402" s="33" t="n"/>
      <c r="M402" s="34" t="n"/>
      <c r="O402" s="34" t="n"/>
      <c r="P402" s="119" t="n"/>
      <c r="Q402" s="34" t="n"/>
      <c r="R402" s="119" t="n"/>
      <c r="T402" s="119" t="n"/>
      <c r="U402" s="34" t="n"/>
      <c r="V402" s="119" t="n"/>
    </row>
    <row r="403" ht="15" customFormat="1" customHeight="1" s="116">
      <c r="B403" s="117" t="n"/>
      <c r="C403" s="157" t="n"/>
      <c r="D403" s="28" t="n"/>
      <c r="E403" s="29" t="n"/>
      <c r="F403" s="29" t="n"/>
      <c r="G403" s="29" t="n"/>
      <c r="I403" s="156" t="n"/>
      <c r="L403" s="33" t="n"/>
      <c r="M403" s="34" t="n"/>
      <c r="O403" s="34" t="n"/>
      <c r="P403" s="119" t="n"/>
      <c r="Q403" s="34" t="n"/>
      <c r="R403" s="119" t="n"/>
      <c r="T403" s="119" t="n"/>
      <c r="U403" s="34" t="n"/>
      <c r="V403" s="119" t="n"/>
    </row>
    <row r="404" ht="15" customFormat="1" customHeight="1" s="116">
      <c r="B404" s="117" t="n"/>
      <c r="C404" s="157" t="n"/>
      <c r="D404" s="28" t="n"/>
      <c r="E404" s="29" t="n"/>
      <c r="F404" s="29" t="n"/>
      <c r="G404" s="29" t="n"/>
      <c r="I404" s="156" t="n"/>
      <c r="L404" s="33" t="n"/>
      <c r="M404" s="34" t="n"/>
      <c r="O404" s="34" t="n"/>
      <c r="P404" s="119" t="n"/>
      <c r="Q404" s="34" t="n"/>
      <c r="R404" s="119" t="n"/>
      <c r="T404" s="119" t="n"/>
      <c r="U404" s="34" t="n"/>
      <c r="V404" s="119" t="n"/>
    </row>
    <row r="405" ht="15" customFormat="1" customHeight="1" s="116">
      <c r="B405" s="117" t="n"/>
      <c r="C405" s="157" t="n"/>
      <c r="D405" s="28" t="n"/>
      <c r="E405" s="29" t="n"/>
      <c r="F405" s="29" t="n"/>
      <c r="G405" s="29" t="n"/>
      <c r="I405" s="156" t="n"/>
      <c r="L405" s="33" t="n"/>
      <c r="M405" s="34" t="n"/>
      <c r="O405" s="34" t="n"/>
      <c r="P405" s="119" t="n"/>
      <c r="Q405" s="34" t="n"/>
      <c r="R405" s="119" t="n"/>
      <c r="T405" s="119" t="n"/>
      <c r="U405" s="34" t="n"/>
      <c r="V405" s="119" t="n"/>
    </row>
    <row r="406" ht="15" customFormat="1" customHeight="1" s="116">
      <c r="B406" s="117" t="n"/>
      <c r="C406" s="157" t="n"/>
      <c r="D406" s="28" t="n"/>
      <c r="E406" s="29" t="n"/>
      <c r="F406" s="29" t="n"/>
      <c r="G406" s="29" t="n"/>
      <c r="I406" s="156" t="n"/>
      <c r="L406" s="33" t="n"/>
      <c r="M406" s="34" t="n"/>
      <c r="O406" s="34" t="n"/>
      <c r="P406" s="119" t="n"/>
      <c r="Q406" s="34" t="n"/>
      <c r="R406" s="119" t="n"/>
      <c r="T406" s="119" t="n"/>
      <c r="U406" s="34" t="n"/>
      <c r="V406" s="119" t="n"/>
    </row>
    <row r="407" ht="15" customFormat="1" customHeight="1" s="116">
      <c r="B407" s="117" t="n"/>
      <c r="C407" s="157" t="n"/>
      <c r="D407" s="28" t="n"/>
      <c r="E407" s="29" t="n"/>
      <c r="F407" s="29" t="n"/>
      <c r="G407" s="29" t="n"/>
      <c r="I407" s="156" t="n"/>
      <c r="L407" s="33" t="n"/>
      <c r="M407" s="34" t="n"/>
      <c r="O407" s="34" t="n"/>
      <c r="P407" s="119" t="n"/>
      <c r="Q407" s="34" t="n"/>
      <c r="R407" s="119" t="n"/>
      <c r="T407" s="119" t="n"/>
      <c r="U407" s="34" t="n"/>
      <c r="V407" s="119" t="n"/>
    </row>
    <row r="408" ht="15" customFormat="1" customHeight="1" s="116">
      <c r="B408" s="117" t="n"/>
      <c r="C408" s="157" t="n"/>
      <c r="D408" s="28" t="n"/>
      <c r="E408" s="29" t="n"/>
      <c r="F408" s="29" t="n"/>
      <c r="G408" s="29" t="n"/>
      <c r="I408" s="156" t="n"/>
      <c r="L408" s="33" t="n"/>
      <c r="M408" s="34" t="n"/>
      <c r="O408" s="34" t="n"/>
      <c r="P408" s="119" t="n"/>
      <c r="Q408" s="34" t="n"/>
      <c r="R408" s="119" t="n"/>
      <c r="T408" s="119" t="n"/>
      <c r="U408" s="34" t="n"/>
      <c r="V408" s="119" t="n"/>
    </row>
    <row r="409" ht="15" customFormat="1" customHeight="1" s="116">
      <c r="B409" s="117" t="n"/>
      <c r="C409" s="157" t="n"/>
      <c r="D409" s="28" t="n"/>
      <c r="E409" s="29" t="n"/>
      <c r="F409" s="29" t="n"/>
      <c r="G409" s="29" t="n"/>
      <c r="I409" s="156" t="n"/>
      <c r="L409" s="33" t="n"/>
      <c r="M409" s="34" t="n"/>
      <c r="O409" s="34" t="n"/>
      <c r="P409" s="119" t="n"/>
      <c r="Q409" s="34" t="n"/>
      <c r="R409" s="119" t="n"/>
      <c r="T409" s="119" t="n"/>
      <c r="U409" s="34" t="n"/>
      <c r="V409" s="119" t="n"/>
    </row>
    <row r="410" ht="15" customFormat="1" customHeight="1" s="116">
      <c r="B410" s="117" t="n"/>
      <c r="C410" s="157" t="n"/>
      <c r="D410" s="28" t="n"/>
      <c r="E410" s="29" t="n"/>
      <c r="F410" s="29" t="n"/>
      <c r="G410" s="29" t="n"/>
      <c r="I410" s="156" t="n"/>
      <c r="L410" s="33" t="n"/>
      <c r="M410" s="34" t="n"/>
      <c r="O410" s="34" t="n"/>
      <c r="P410" s="119" t="n"/>
      <c r="Q410" s="34" t="n"/>
      <c r="R410" s="119" t="n"/>
      <c r="T410" s="119" t="n"/>
      <c r="U410" s="34" t="n"/>
      <c r="V410" s="119" t="n"/>
    </row>
    <row r="411" ht="15" customFormat="1" customHeight="1" s="116">
      <c r="B411" s="117" t="n"/>
      <c r="C411" s="157" t="n"/>
      <c r="D411" s="28" t="n"/>
      <c r="E411" s="29" t="n"/>
      <c r="F411" s="29" t="n"/>
      <c r="G411" s="29" t="n"/>
      <c r="I411" s="156" t="n"/>
      <c r="L411" s="33" t="n"/>
      <c r="M411" s="34" t="n"/>
      <c r="O411" s="34" t="n"/>
      <c r="P411" s="119" t="n"/>
      <c r="Q411" s="34" t="n"/>
      <c r="R411" s="119" t="n"/>
      <c r="T411" s="119" t="n"/>
      <c r="U411" s="34" t="n"/>
      <c r="V411" s="119" t="n"/>
    </row>
    <row r="412" ht="15" customFormat="1" customHeight="1" s="116">
      <c r="B412" s="117" t="n"/>
      <c r="C412" s="157" t="n"/>
      <c r="D412" s="28" t="n"/>
      <c r="E412" s="29" t="n"/>
      <c r="F412" s="29" t="n"/>
      <c r="G412" s="29" t="n"/>
      <c r="I412" s="156" t="n"/>
      <c r="L412" s="33" t="n"/>
      <c r="M412" s="34" t="n"/>
      <c r="O412" s="34" t="n"/>
      <c r="P412" s="119" t="n"/>
      <c r="Q412" s="34" t="n"/>
      <c r="R412" s="119" t="n"/>
      <c r="T412" s="119" t="n"/>
      <c r="U412" s="34" t="n"/>
      <c r="V412" s="119" t="n"/>
    </row>
    <row r="413" ht="15" customFormat="1" customHeight="1" s="116">
      <c r="B413" s="117" t="n"/>
      <c r="C413" s="157" t="n"/>
      <c r="D413" s="28" t="n"/>
      <c r="E413" s="29" t="n"/>
      <c r="F413" s="29" t="n"/>
      <c r="G413" s="29" t="n"/>
      <c r="I413" s="156" t="n"/>
      <c r="L413" s="33" t="n"/>
      <c r="M413" s="34" t="n"/>
      <c r="O413" s="34" t="n"/>
      <c r="P413" s="119" t="n"/>
      <c r="Q413" s="34" t="n"/>
      <c r="R413" s="119" t="n"/>
      <c r="T413" s="119" t="n"/>
      <c r="U413" s="34" t="n"/>
      <c r="V413" s="119" t="n"/>
    </row>
    <row r="414" ht="15" customFormat="1" customHeight="1" s="116">
      <c r="B414" s="117" t="n"/>
      <c r="C414" s="157" t="n"/>
      <c r="D414" s="28" t="n"/>
      <c r="E414" s="29" t="n"/>
      <c r="F414" s="29" t="n"/>
      <c r="G414" s="29" t="n"/>
      <c r="I414" s="156" t="n"/>
      <c r="L414" s="33" t="n"/>
      <c r="M414" s="34" t="n"/>
      <c r="O414" s="34" t="n"/>
      <c r="P414" s="119" t="n"/>
      <c r="Q414" s="34" t="n"/>
      <c r="R414" s="119" t="n"/>
      <c r="T414" s="119" t="n"/>
      <c r="U414" s="34" t="n"/>
      <c r="V414" s="119" t="n"/>
    </row>
    <row r="415" ht="15" customFormat="1" customHeight="1" s="116">
      <c r="B415" s="117" t="n"/>
      <c r="C415" s="157" t="n"/>
      <c r="D415" s="28" t="n"/>
      <c r="E415" s="29" t="n"/>
      <c r="F415" s="29" t="n"/>
      <c r="G415" s="29" t="n"/>
      <c r="I415" s="156" t="n"/>
      <c r="L415" s="33" t="n"/>
      <c r="M415" s="34" t="n"/>
      <c r="O415" s="34" t="n"/>
      <c r="P415" s="119" t="n"/>
      <c r="Q415" s="34" t="n"/>
      <c r="R415" s="119" t="n"/>
      <c r="T415" s="119" t="n"/>
      <c r="U415" s="34" t="n"/>
      <c r="V415" s="119" t="n"/>
    </row>
    <row r="416" ht="15" customFormat="1" customHeight="1" s="116">
      <c r="B416" s="117" t="n"/>
      <c r="C416" s="157" t="n"/>
      <c r="D416" s="28" t="n"/>
      <c r="E416" s="29" t="n"/>
      <c r="F416" s="29" t="n"/>
      <c r="G416" s="29" t="n"/>
      <c r="I416" s="156" t="n"/>
      <c r="L416" s="33" t="n"/>
      <c r="M416" s="34" t="n"/>
      <c r="O416" s="34" t="n"/>
      <c r="P416" s="119" t="n"/>
      <c r="Q416" s="34" t="n"/>
      <c r="R416" s="119" t="n"/>
      <c r="T416" s="119" t="n"/>
      <c r="U416" s="34" t="n"/>
      <c r="V416" s="119" t="n"/>
    </row>
    <row r="417" ht="15" customFormat="1" customHeight="1" s="116">
      <c r="B417" s="117" t="n"/>
      <c r="C417" s="157" t="n"/>
      <c r="D417" s="28" t="n"/>
      <c r="E417" s="29" t="n"/>
      <c r="F417" s="29" t="n"/>
      <c r="G417" s="29" t="n"/>
      <c r="I417" s="156" t="n"/>
      <c r="L417" s="33" t="n"/>
      <c r="M417" s="34" t="n"/>
      <c r="O417" s="34" t="n"/>
      <c r="P417" s="119" t="n"/>
      <c r="Q417" s="34" t="n"/>
      <c r="R417" s="119" t="n"/>
      <c r="T417" s="119" t="n"/>
      <c r="U417" s="34" t="n"/>
      <c r="V417" s="119" t="n"/>
    </row>
    <row r="418" ht="15" customFormat="1" customHeight="1" s="116">
      <c r="B418" s="117" t="n"/>
      <c r="C418" s="157" t="n"/>
      <c r="D418" s="28" t="n"/>
      <c r="E418" s="29" t="n"/>
      <c r="F418" s="29" t="n"/>
      <c r="G418" s="29" t="n"/>
      <c r="I418" s="156" t="n"/>
      <c r="L418" s="33" t="n"/>
      <c r="M418" s="34" t="n"/>
      <c r="O418" s="34" t="n"/>
      <c r="P418" s="119" t="n"/>
      <c r="Q418" s="34" t="n"/>
      <c r="R418" s="119" t="n"/>
      <c r="T418" s="119" t="n"/>
      <c r="U418" s="34" t="n"/>
      <c r="V418" s="119" t="n"/>
    </row>
    <row r="419" ht="15" customFormat="1" customHeight="1" s="116">
      <c r="B419" s="117" t="n"/>
      <c r="C419" s="157" t="n"/>
      <c r="D419" s="28" t="n"/>
      <c r="E419" s="29" t="n"/>
      <c r="F419" s="29" t="n"/>
      <c r="G419" s="29" t="n"/>
      <c r="I419" s="156" t="n"/>
      <c r="L419" s="33" t="n"/>
      <c r="M419" s="34" t="n"/>
      <c r="O419" s="34" t="n"/>
      <c r="P419" s="119" t="n"/>
      <c r="Q419" s="34" t="n"/>
      <c r="R419" s="119" t="n"/>
      <c r="T419" s="119" t="n"/>
      <c r="U419" s="34" t="n"/>
      <c r="V419" s="119" t="n"/>
    </row>
    <row r="420" ht="15" customFormat="1" customHeight="1" s="116">
      <c r="B420" s="117" t="n"/>
      <c r="C420" s="157" t="n"/>
      <c r="D420" s="28" t="n"/>
      <c r="E420" s="29" t="n"/>
      <c r="F420" s="29" t="n"/>
      <c r="G420" s="29" t="n"/>
      <c r="I420" s="156" t="n"/>
      <c r="L420" s="33" t="n"/>
      <c r="M420" s="34" t="n"/>
      <c r="O420" s="34" t="n"/>
      <c r="P420" s="119" t="n"/>
      <c r="Q420" s="34" t="n"/>
      <c r="R420" s="119" t="n"/>
      <c r="T420" s="119" t="n"/>
      <c r="U420" s="34" t="n"/>
      <c r="V420" s="119" t="n"/>
    </row>
    <row r="421" ht="15" customFormat="1" customHeight="1" s="116">
      <c r="B421" s="117" t="n"/>
      <c r="C421" s="157" t="n"/>
      <c r="D421" s="28" t="n"/>
      <c r="E421" s="29" t="n"/>
      <c r="F421" s="29" t="n"/>
      <c r="G421" s="29" t="n"/>
      <c r="I421" s="156" t="n"/>
      <c r="L421" s="33" t="n"/>
      <c r="M421" s="34" t="n"/>
      <c r="O421" s="34" t="n"/>
      <c r="P421" s="119" t="n"/>
      <c r="Q421" s="34" t="n"/>
      <c r="R421" s="119" t="n"/>
      <c r="T421" s="119" t="n"/>
      <c r="U421" s="34" t="n"/>
      <c r="V421" s="119" t="n"/>
    </row>
    <row r="422" ht="15" customFormat="1" customHeight="1" s="116">
      <c r="B422" s="117" t="n"/>
      <c r="C422" s="157" t="n"/>
      <c r="D422" s="28" t="n"/>
      <c r="E422" s="29" t="n"/>
      <c r="F422" s="29" t="n"/>
      <c r="G422" s="29" t="n"/>
      <c r="I422" s="156" t="n"/>
      <c r="L422" s="33" t="n"/>
      <c r="M422" s="34" t="n"/>
      <c r="O422" s="34" t="n"/>
      <c r="P422" s="119" t="n"/>
      <c r="Q422" s="34" t="n"/>
      <c r="R422" s="119" t="n"/>
      <c r="T422" s="119" t="n"/>
      <c r="U422" s="34" t="n"/>
      <c r="V422" s="119" t="n"/>
    </row>
    <row r="423" ht="15" customFormat="1" customHeight="1" s="116">
      <c r="B423" s="117" t="n"/>
      <c r="C423" s="157" t="n"/>
      <c r="D423" s="28" t="n"/>
      <c r="E423" s="29" t="n"/>
      <c r="F423" s="29" t="n"/>
      <c r="G423" s="29" t="n"/>
      <c r="I423" s="156" t="n"/>
      <c r="L423" s="33" t="n"/>
      <c r="M423" s="34" t="n"/>
      <c r="O423" s="34" t="n"/>
      <c r="P423" s="119" t="n"/>
      <c r="Q423" s="34" t="n"/>
      <c r="R423" s="119" t="n"/>
      <c r="T423" s="119" t="n"/>
      <c r="U423" s="34" t="n"/>
      <c r="V423" s="119" t="n"/>
    </row>
    <row r="424" ht="15" customFormat="1" customHeight="1" s="116">
      <c r="B424" s="117" t="n"/>
      <c r="C424" s="157" t="n"/>
      <c r="D424" s="28" t="n"/>
      <c r="E424" s="29" t="n"/>
      <c r="F424" s="29" t="n"/>
      <c r="G424" s="29" t="n"/>
      <c r="I424" s="156" t="n"/>
      <c r="L424" s="33" t="n"/>
      <c r="M424" s="34" t="n"/>
      <c r="O424" s="34" t="n"/>
      <c r="P424" s="119" t="n"/>
      <c r="Q424" s="34" t="n"/>
      <c r="R424" s="119" t="n"/>
      <c r="T424" s="119" t="n"/>
      <c r="U424" s="34" t="n"/>
      <c r="V424" s="119" t="n"/>
    </row>
    <row r="425" ht="15" customFormat="1" customHeight="1" s="116">
      <c r="B425" s="117" t="n"/>
      <c r="C425" s="157" t="n"/>
      <c r="D425" s="28" t="n"/>
      <c r="E425" s="29" t="n"/>
      <c r="F425" s="29" t="n"/>
      <c r="G425" s="29" t="n"/>
      <c r="I425" s="156" t="n"/>
      <c r="L425" s="33" t="n"/>
      <c r="M425" s="34" t="n"/>
      <c r="O425" s="34" t="n"/>
      <c r="P425" s="119" t="n"/>
      <c r="Q425" s="34" t="n"/>
      <c r="R425" s="119" t="n"/>
      <c r="T425" s="119" t="n"/>
      <c r="U425" s="34" t="n"/>
      <c r="V425" s="119" t="n"/>
    </row>
    <row r="426" ht="15" customFormat="1" customHeight="1" s="116">
      <c r="B426" s="117" t="n"/>
      <c r="C426" s="157" t="n"/>
      <c r="D426" s="28" t="n"/>
      <c r="E426" s="29" t="n"/>
      <c r="F426" s="29" t="n"/>
      <c r="G426" s="29" t="n"/>
      <c r="I426" s="156" t="n"/>
      <c r="L426" s="33" t="n"/>
      <c r="M426" s="34" t="n"/>
      <c r="O426" s="34" t="n"/>
      <c r="P426" s="119" t="n"/>
      <c r="Q426" s="34" t="n"/>
      <c r="R426" s="119" t="n"/>
      <c r="T426" s="119" t="n"/>
      <c r="U426" s="34" t="n"/>
      <c r="V426" s="119" t="n"/>
    </row>
    <row r="427" ht="15" customFormat="1" customHeight="1" s="116">
      <c r="B427" s="117" t="n"/>
      <c r="C427" s="157" t="n"/>
      <c r="D427" s="28" t="n"/>
      <c r="E427" s="29" t="n"/>
      <c r="F427" s="29" t="n"/>
      <c r="G427" s="29" t="n"/>
      <c r="I427" s="156" t="n"/>
      <c r="L427" s="33" t="n"/>
      <c r="M427" s="34" t="n"/>
      <c r="O427" s="34" t="n"/>
      <c r="P427" s="119" t="n"/>
      <c r="Q427" s="34" t="n"/>
      <c r="R427" s="119" t="n"/>
      <c r="T427" s="119" t="n"/>
      <c r="U427" s="34" t="n"/>
      <c r="V427" s="119" t="n"/>
    </row>
    <row r="428" ht="15" customFormat="1" customHeight="1" s="116">
      <c r="B428" s="117" t="n"/>
      <c r="C428" s="157" t="n"/>
      <c r="D428" s="28" t="n"/>
      <c r="E428" s="29" t="n"/>
      <c r="F428" s="29" t="n"/>
      <c r="G428" s="29" t="n"/>
      <c r="I428" s="156" t="n"/>
      <c r="L428" s="33" t="n"/>
      <c r="M428" s="34" t="n"/>
      <c r="O428" s="34" t="n"/>
      <c r="P428" s="119" t="n"/>
      <c r="Q428" s="34" t="n"/>
      <c r="R428" s="119" t="n"/>
      <c r="T428" s="119" t="n"/>
      <c r="U428" s="34" t="n"/>
      <c r="V428" s="119" t="n"/>
    </row>
    <row r="429" ht="15" customFormat="1" customHeight="1" s="116">
      <c r="B429" s="117" t="n"/>
      <c r="C429" s="157" t="n"/>
      <c r="D429" s="28" t="n"/>
      <c r="E429" s="29" t="n"/>
      <c r="F429" s="29" t="n"/>
      <c r="G429" s="29" t="n"/>
      <c r="I429" s="156" t="n"/>
      <c r="L429" s="33" t="n"/>
      <c r="M429" s="34" t="n"/>
      <c r="O429" s="34" t="n"/>
      <c r="P429" s="119" t="n"/>
      <c r="Q429" s="34" t="n"/>
      <c r="R429" s="119" t="n"/>
      <c r="T429" s="119" t="n"/>
      <c r="U429" s="34" t="n"/>
      <c r="V429" s="119" t="n"/>
    </row>
    <row r="430" ht="15" customFormat="1" customHeight="1" s="116">
      <c r="B430" s="117" t="n"/>
      <c r="C430" s="157" t="n"/>
      <c r="D430" s="28" t="n"/>
      <c r="E430" s="29" t="n"/>
      <c r="F430" s="29" t="n"/>
      <c r="G430" s="29" t="n"/>
      <c r="I430" s="156" t="n"/>
      <c r="L430" s="33" t="n"/>
      <c r="M430" s="34" t="n"/>
      <c r="O430" s="34" t="n"/>
      <c r="P430" s="119" t="n"/>
      <c r="Q430" s="34" t="n"/>
      <c r="R430" s="119" t="n"/>
      <c r="T430" s="119" t="n"/>
      <c r="U430" s="34" t="n"/>
      <c r="V430" s="119" t="n"/>
    </row>
    <row r="431" ht="15" customFormat="1" customHeight="1" s="116">
      <c r="B431" s="117" t="n"/>
      <c r="C431" s="157" t="n"/>
      <c r="D431" s="28" t="n"/>
      <c r="E431" s="29" t="n"/>
      <c r="F431" s="29" t="n"/>
      <c r="G431" s="29" t="n"/>
      <c r="I431" s="156" t="n"/>
      <c r="L431" s="33" t="n"/>
      <c r="M431" s="34" t="n"/>
      <c r="O431" s="34" t="n"/>
      <c r="P431" s="119" t="n"/>
      <c r="Q431" s="34" t="n"/>
      <c r="R431" s="119" t="n"/>
      <c r="T431" s="119" t="n"/>
      <c r="U431" s="34" t="n"/>
      <c r="V431" s="119" t="n"/>
    </row>
    <row r="432" ht="15" customFormat="1" customHeight="1" s="116">
      <c r="B432" s="117" t="n"/>
      <c r="C432" s="157" t="n"/>
      <c r="D432" s="28" t="n"/>
      <c r="E432" s="29" t="n"/>
      <c r="F432" s="29" t="n"/>
      <c r="G432" s="29" t="n"/>
      <c r="I432" s="156" t="n"/>
      <c r="L432" s="33" t="n"/>
      <c r="M432" s="34" t="n"/>
      <c r="O432" s="34" t="n"/>
      <c r="P432" s="119" t="n"/>
      <c r="Q432" s="34" t="n"/>
      <c r="R432" s="119" t="n"/>
      <c r="T432" s="119" t="n"/>
      <c r="U432" s="34" t="n"/>
      <c r="V432" s="119" t="n"/>
    </row>
    <row r="433" ht="15" customFormat="1" customHeight="1" s="116">
      <c r="B433" s="117" t="n"/>
      <c r="C433" s="157" t="n"/>
      <c r="D433" s="28" t="n"/>
      <c r="E433" s="29" t="n"/>
      <c r="F433" s="29" t="n"/>
      <c r="G433" s="29" t="n"/>
      <c r="I433" s="156" t="n"/>
      <c r="L433" s="33" t="n"/>
      <c r="M433" s="34" t="n"/>
      <c r="O433" s="34" t="n"/>
      <c r="P433" s="119" t="n"/>
      <c r="Q433" s="34" t="n"/>
      <c r="R433" s="119" t="n"/>
      <c r="T433" s="119" t="n"/>
      <c r="U433" s="34" t="n"/>
      <c r="V433" s="119" t="n"/>
    </row>
    <row r="434" ht="15" customFormat="1" customHeight="1" s="116">
      <c r="B434" s="117" t="n"/>
      <c r="C434" s="157" t="n"/>
      <c r="D434" s="28" t="n"/>
      <c r="E434" s="29" t="n"/>
      <c r="F434" s="29" t="n"/>
      <c r="G434" s="29" t="n"/>
      <c r="I434" s="156" t="n"/>
      <c r="L434" s="33" t="n"/>
      <c r="M434" s="34" t="n"/>
      <c r="O434" s="34" t="n"/>
      <c r="P434" s="119" t="n"/>
      <c r="Q434" s="34" t="n"/>
      <c r="R434" s="119" t="n"/>
      <c r="T434" s="119" t="n"/>
      <c r="U434" s="34" t="n"/>
      <c r="V434" s="119" t="n"/>
    </row>
    <row r="435" ht="15" customFormat="1" customHeight="1" s="116">
      <c r="B435" s="117" t="n"/>
      <c r="C435" s="157" t="n"/>
      <c r="D435" s="28" t="n"/>
      <c r="E435" s="29" t="n"/>
      <c r="F435" s="29" t="n"/>
      <c r="G435" s="29" t="n"/>
      <c r="I435" s="156" t="n"/>
      <c r="L435" s="33" t="n"/>
      <c r="M435" s="34" t="n"/>
      <c r="O435" s="34" t="n"/>
      <c r="P435" s="119" t="n"/>
      <c r="Q435" s="34" t="n"/>
      <c r="R435" s="119" t="n"/>
      <c r="T435" s="119" t="n"/>
      <c r="U435" s="34" t="n"/>
      <c r="V435" s="119" t="n"/>
    </row>
    <row r="436" ht="15" customFormat="1" customHeight="1" s="116">
      <c r="B436" s="117" t="n"/>
      <c r="C436" s="157" t="n"/>
      <c r="D436" s="28" t="n"/>
      <c r="E436" s="29" t="n"/>
      <c r="F436" s="29" t="n"/>
      <c r="G436" s="29" t="n"/>
      <c r="I436" s="156" t="n"/>
      <c r="L436" s="33" t="n"/>
      <c r="M436" s="34" t="n"/>
      <c r="O436" s="34" t="n"/>
      <c r="P436" s="119" t="n"/>
      <c r="Q436" s="34" t="n"/>
      <c r="R436" s="119" t="n"/>
      <c r="T436" s="119" t="n"/>
      <c r="U436" s="34" t="n"/>
      <c r="V436" s="119" t="n"/>
    </row>
    <row r="437" ht="15" customFormat="1" customHeight="1" s="116">
      <c r="B437" s="117" t="n"/>
      <c r="C437" s="157" t="n"/>
      <c r="D437" s="28" t="n"/>
      <c r="E437" s="29" t="n"/>
      <c r="F437" s="29" t="n"/>
      <c r="G437" s="29" t="n"/>
      <c r="I437" s="156" t="n"/>
      <c r="L437" s="33" t="n"/>
      <c r="M437" s="34" t="n"/>
      <c r="O437" s="34" t="n"/>
      <c r="P437" s="119" t="n"/>
      <c r="Q437" s="34" t="n"/>
      <c r="R437" s="119" t="n"/>
      <c r="T437" s="119" t="n"/>
      <c r="U437" s="34" t="n"/>
      <c r="V437" s="119" t="n"/>
    </row>
    <row r="438" ht="15" customFormat="1" customHeight="1" s="116">
      <c r="B438" s="117" t="n"/>
      <c r="C438" s="157" t="n"/>
      <c r="D438" s="28" t="n"/>
      <c r="E438" s="29" t="n"/>
      <c r="F438" s="29" t="n"/>
      <c r="G438" s="29" t="n"/>
      <c r="I438" s="156" t="n"/>
      <c r="L438" s="33" t="n"/>
      <c r="M438" s="34" t="n"/>
      <c r="O438" s="34" t="n"/>
      <c r="P438" s="119" t="n"/>
      <c r="Q438" s="34" t="n"/>
      <c r="R438" s="119" t="n"/>
      <c r="T438" s="119" t="n"/>
      <c r="U438" s="34" t="n"/>
      <c r="V438" s="119" t="n"/>
    </row>
    <row r="439" ht="15" customFormat="1" customHeight="1" s="116">
      <c r="B439" s="117" t="n"/>
      <c r="C439" s="157" t="n"/>
      <c r="D439" s="28" t="n"/>
      <c r="E439" s="29" t="n"/>
      <c r="F439" s="29" t="n"/>
      <c r="G439" s="29" t="n"/>
      <c r="I439" s="156" t="n"/>
      <c r="L439" s="33" t="n"/>
      <c r="M439" s="34" t="n"/>
      <c r="O439" s="34" t="n"/>
      <c r="P439" s="119" t="n"/>
      <c r="Q439" s="34" t="n"/>
      <c r="R439" s="119" t="n"/>
      <c r="T439" s="119" t="n"/>
      <c r="U439" s="34" t="n"/>
      <c r="V439" s="119" t="n"/>
    </row>
    <row r="440" ht="15" customFormat="1" customHeight="1" s="116">
      <c r="B440" s="117" t="n"/>
      <c r="C440" s="157" t="n"/>
      <c r="D440" s="28" t="n"/>
      <c r="E440" s="29" t="n"/>
      <c r="F440" s="29" t="n"/>
      <c r="G440" s="29" t="n"/>
      <c r="I440" s="156" t="n"/>
      <c r="L440" s="33" t="n"/>
      <c r="M440" s="34" t="n"/>
      <c r="O440" s="34" t="n"/>
      <c r="P440" s="119" t="n"/>
      <c r="Q440" s="34" t="n"/>
      <c r="R440" s="119" t="n"/>
      <c r="T440" s="119" t="n"/>
      <c r="U440" s="34" t="n"/>
      <c r="V440" s="119" t="n"/>
    </row>
    <row r="441" ht="15" customFormat="1" customHeight="1" s="116">
      <c r="B441" s="117" t="n"/>
      <c r="C441" s="157" t="n"/>
      <c r="D441" s="28" t="n"/>
      <c r="E441" s="29" t="n"/>
      <c r="F441" s="29" t="n"/>
      <c r="G441" s="29" t="n"/>
      <c r="I441" s="156" t="n"/>
      <c r="L441" s="33" t="n"/>
      <c r="M441" s="34" t="n"/>
      <c r="O441" s="34" t="n"/>
      <c r="P441" s="119" t="n"/>
      <c r="Q441" s="34" t="n"/>
      <c r="R441" s="119" t="n"/>
      <c r="T441" s="119" t="n"/>
      <c r="U441" s="34" t="n"/>
      <c r="V441" s="119" t="n"/>
    </row>
    <row r="442" ht="15" customFormat="1" customHeight="1" s="116">
      <c r="B442" s="117" t="n"/>
      <c r="C442" s="157" t="n"/>
      <c r="D442" s="28" t="n"/>
      <c r="E442" s="29" t="n"/>
      <c r="F442" s="29" t="n"/>
      <c r="G442" s="29" t="n"/>
      <c r="I442" s="156" t="n"/>
      <c r="L442" s="33" t="n"/>
      <c r="M442" s="34" t="n"/>
      <c r="O442" s="34" t="n"/>
      <c r="P442" s="119" t="n"/>
      <c r="Q442" s="34" t="n"/>
      <c r="R442" s="119" t="n"/>
      <c r="T442" s="119" t="n"/>
      <c r="U442" s="34" t="n"/>
      <c r="V442" s="119" t="n"/>
    </row>
    <row r="443" ht="15" customFormat="1" customHeight="1" s="116">
      <c r="B443" s="117" t="n"/>
      <c r="C443" s="157" t="n"/>
      <c r="D443" s="28" t="n"/>
      <c r="E443" s="29" t="n"/>
      <c r="F443" s="29" t="n"/>
      <c r="G443" s="29" t="n"/>
      <c r="I443" s="156" t="n"/>
      <c r="L443" s="33" t="n"/>
      <c r="M443" s="34" t="n"/>
      <c r="O443" s="34" t="n"/>
      <c r="P443" s="119" t="n"/>
      <c r="Q443" s="34" t="n"/>
      <c r="R443" s="119" t="n"/>
      <c r="T443" s="119" t="n"/>
      <c r="U443" s="34" t="n"/>
      <c r="V443" s="119" t="n"/>
    </row>
    <row r="444" ht="15" customFormat="1" customHeight="1" s="116">
      <c r="B444" s="117" t="n"/>
      <c r="C444" s="157" t="n"/>
      <c r="D444" s="28" t="n"/>
      <c r="E444" s="29" t="n"/>
      <c r="F444" s="29" t="n"/>
      <c r="G444" s="29" t="n"/>
      <c r="I444" s="156" t="n"/>
      <c r="L444" s="33" t="n"/>
      <c r="M444" s="34" t="n"/>
      <c r="O444" s="34" t="n"/>
      <c r="P444" s="119" t="n"/>
      <c r="Q444" s="34" t="n"/>
      <c r="R444" s="119" t="n"/>
      <c r="T444" s="119" t="n"/>
      <c r="U444" s="34" t="n"/>
      <c r="V444" s="119" t="n"/>
    </row>
    <row r="445" ht="15" customFormat="1" customHeight="1" s="116">
      <c r="B445" s="117" t="n"/>
      <c r="C445" s="157" t="n"/>
      <c r="D445" s="28" t="n"/>
      <c r="E445" s="29" t="n"/>
      <c r="F445" s="29" t="n"/>
      <c r="G445" s="29" t="n"/>
      <c r="I445" s="156" t="n"/>
      <c r="L445" s="33" t="n"/>
      <c r="M445" s="34" t="n"/>
      <c r="O445" s="34" t="n"/>
      <c r="P445" s="119" t="n"/>
      <c r="Q445" s="34" t="n"/>
      <c r="R445" s="119" t="n"/>
      <c r="T445" s="119" t="n"/>
      <c r="U445" s="34" t="n"/>
      <c r="V445" s="119" t="n"/>
    </row>
    <row r="446" ht="15" customFormat="1" customHeight="1" s="116">
      <c r="B446" s="117" t="n"/>
      <c r="C446" s="157" t="n"/>
      <c r="D446" s="28" t="n"/>
      <c r="E446" s="29" t="n"/>
      <c r="F446" s="29" t="n"/>
      <c r="G446" s="29" t="n"/>
      <c r="I446" s="156" t="n"/>
      <c r="L446" s="33" t="n"/>
      <c r="M446" s="34" t="n"/>
      <c r="O446" s="34" t="n"/>
      <c r="P446" s="119" t="n"/>
      <c r="Q446" s="34" t="n"/>
      <c r="R446" s="119" t="n"/>
      <c r="T446" s="119" t="n"/>
      <c r="U446" s="34" t="n"/>
      <c r="V446" s="119" t="n"/>
    </row>
    <row r="447" ht="15" customFormat="1" customHeight="1" s="116">
      <c r="B447" s="117" t="n"/>
      <c r="C447" s="157" t="n"/>
      <c r="D447" s="28" t="n"/>
      <c r="E447" s="29" t="n"/>
      <c r="F447" s="29" t="n"/>
      <c r="G447" s="29" t="n"/>
      <c r="I447" s="156" t="n"/>
      <c r="L447" s="33" t="n"/>
      <c r="M447" s="34" t="n"/>
      <c r="O447" s="34" t="n"/>
      <c r="P447" s="119" t="n"/>
      <c r="Q447" s="34" t="n"/>
      <c r="R447" s="119" t="n"/>
      <c r="T447" s="119" t="n"/>
      <c r="U447" s="34" t="n"/>
      <c r="V447" s="119" t="n"/>
    </row>
    <row r="448" ht="15" customFormat="1" customHeight="1" s="116">
      <c r="B448" s="117" t="n"/>
      <c r="C448" s="157" t="n"/>
      <c r="D448" s="28" t="n"/>
      <c r="E448" s="29" t="n"/>
      <c r="F448" s="29" t="n"/>
      <c r="G448" s="29" t="n"/>
      <c r="I448" s="156" t="n"/>
      <c r="L448" s="33" t="n"/>
      <c r="M448" s="34" t="n"/>
      <c r="O448" s="34" t="n"/>
      <c r="P448" s="119" t="n"/>
      <c r="Q448" s="34" t="n"/>
      <c r="R448" s="119" t="n"/>
      <c r="T448" s="119" t="n"/>
      <c r="U448" s="34" t="n"/>
      <c r="V448" s="119" t="n"/>
    </row>
    <row r="449" ht="15" customFormat="1" customHeight="1" s="116">
      <c r="B449" s="117" t="n"/>
      <c r="C449" s="157" t="n"/>
      <c r="D449" s="28" t="n"/>
      <c r="E449" s="29" t="n"/>
      <c r="F449" s="29" t="n"/>
      <c r="G449" s="29" t="n"/>
      <c r="I449" s="156" t="n"/>
      <c r="L449" s="33" t="n"/>
      <c r="M449" s="34" t="n"/>
      <c r="O449" s="34" t="n"/>
      <c r="P449" s="119" t="n"/>
      <c r="Q449" s="34" t="n"/>
      <c r="R449" s="119" t="n"/>
      <c r="T449" s="119" t="n"/>
      <c r="U449" s="34" t="n"/>
      <c r="V449" s="119" t="n"/>
    </row>
    <row r="450" ht="15" customFormat="1" customHeight="1" s="116">
      <c r="B450" s="117" t="n"/>
      <c r="C450" s="157" t="n"/>
      <c r="D450" s="28" t="n"/>
      <c r="E450" s="29" t="n"/>
      <c r="F450" s="29" t="n"/>
      <c r="G450" s="29" t="n"/>
      <c r="I450" s="156" t="n"/>
      <c r="L450" s="33" t="n"/>
      <c r="M450" s="34" t="n"/>
      <c r="O450" s="34" t="n"/>
      <c r="P450" s="119" t="n"/>
      <c r="Q450" s="34" t="n"/>
      <c r="R450" s="119" t="n"/>
      <c r="T450" s="119" t="n"/>
      <c r="U450" s="34" t="n"/>
      <c r="V450" s="119" t="n"/>
    </row>
    <row r="451" ht="15" customFormat="1" customHeight="1" s="116">
      <c r="B451" s="117" t="n"/>
      <c r="C451" s="157" t="n"/>
      <c r="D451" s="28" t="n"/>
      <c r="E451" s="29" t="n"/>
      <c r="F451" s="29" t="n"/>
      <c r="G451" s="29" t="n"/>
      <c r="I451" s="156" t="n"/>
      <c r="L451" s="33" t="n"/>
      <c r="M451" s="34" t="n"/>
      <c r="O451" s="34" t="n"/>
      <c r="P451" s="119" t="n"/>
      <c r="Q451" s="34" t="n"/>
      <c r="R451" s="119" t="n"/>
      <c r="T451" s="119" t="n"/>
      <c r="U451" s="34" t="n"/>
      <c r="V451" s="119" t="n"/>
    </row>
    <row r="452" ht="15" customFormat="1" customHeight="1" s="116">
      <c r="B452" s="117" t="n"/>
      <c r="C452" s="157" t="n"/>
      <c r="D452" s="28" t="n"/>
      <c r="E452" s="29" t="n"/>
      <c r="F452" s="29" t="n"/>
      <c r="G452" s="29" t="n"/>
      <c r="I452" s="156" t="n"/>
      <c r="L452" s="33" t="n"/>
      <c r="M452" s="34" t="n"/>
      <c r="O452" s="34" t="n"/>
      <c r="P452" s="119" t="n"/>
      <c r="Q452" s="34" t="n"/>
      <c r="R452" s="119" t="n"/>
      <c r="T452" s="119" t="n"/>
      <c r="U452" s="34" t="n"/>
      <c r="V452" s="119" t="n"/>
    </row>
    <row r="453" ht="15" customFormat="1" customHeight="1" s="116">
      <c r="B453" s="117" t="n"/>
      <c r="C453" s="157" t="n"/>
      <c r="D453" s="28" t="n"/>
      <c r="E453" s="29" t="n"/>
      <c r="F453" s="29" t="n"/>
      <c r="G453" s="29" t="n"/>
      <c r="I453" s="156" t="n"/>
      <c r="L453" s="33" t="n"/>
      <c r="M453" s="34" t="n"/>
      <c r="O453" s="34" t="n"/>
      <c r="P453" s="119" t="n"/>
      <c r="Q453" s="34" t="n"/>
      <c r="R453" s="119" t="n"/>
      <c r="T453" s="119" t="n"/>
      <c r="U453" s="34" t="n"/>
      <c r="V453" s="119" t="n"/>
    </row>
    <row r="454" ht="15" customFormat="1" customHeight="1" s="116">
      <c r="B454" s="117" t="n"/>
      <c r="C454" s="157" t="n"/>
      <c r="D454" s="28" t="n"/>
      <c r="E454" s="29" t="n"/>
      <c r="F454" s="29" t="n"/>
      <c r="G454" s="29" t="n"/>
      <c r="I454" s="156" t="n"/>
      <c r="L454" s="33" t="n"/>
      <c r="M454" s="34" t="n"/>
      <c r="O454" s="34" t="n"/>
      <c r="P454" s="119" t="n"/>
      <c r="Q454" s="34" t="n"/>
      <c r="R454" s="119" t="n"/>
      <c r="T454" s="119" t="n"/>
      <c r="U454" s="34" t="n"/>
      <c r="V454" s="119" t="n"/>
    </row>
    <row r="455" ht="15" customFormat="1" customHeight="1" s="116">
      <c r="B455" s="117" t="n"/>
      <c r="C455" s="157" t="n"/>
      <c r="D455" s="28" t="n"/>
      <c r="E455" s="29" t="n"/>
      <c r="F455" s="29" t="n"/>
      <c r="G455" s="29" t="n"/>
      <c r="I455" s="156" t="n"/>
      <c r="L455" s="33" t="n"/>
      <c r="M455" s="34" t="n"/>
      <c r="O455" s="34" t="n"/>
      <c r="P455" s="119" t="n"/>
      <c r="Q455" s="34" t="n"/>
      <c r="R455" s="119" t="n"/>
      <c r="T455" s="119" t="n"/>
      <c r="U455" s="34" t="n"/>
      <c r="V455" s="119" t="n"/>
    </row>
    <row r="456" ht="15" customFormat="1" customHeight="1" s="116">
      <c r="B456" s="117" t="n"/>
      <c r="C456" s="157" t="n"/>
      <c r="D456" s="28" t="n"/>
      <c r="E456" s="29" t="n"/>
      <c r="F456" s="29" t="n"/>
      <c r="G456" s="29" t="n"/>
      <c r="I456" s="156" t="n"/>
      <c r="L456" s="33" t="n"/>
      <c r="M456" s="34" t="n"/>
      <c r="O456" s="34" t="n"/>
      <c r="P456" s="119" t="n"/>
      <c r="Q456" s="34" t="n"/>
      <c r="R456" s="119" t="n"/>
      <c r="T456" s="119" t="n"/>
      <c r="U456" s="34" t="n"/>
      <c r="V456" s="119" t="n"/>
    </row>
    <row r="457" ht="15" customFormat="1" customHeight="1" s="116">
      <c r="B457" s="117" t="n"/>
      <c r="C457" s="157" t="n"/>
      <c r="D457" s="28" t="n"/>
      <c r="E457" s="29" t="n"/>
      <c r="F457" s="29" t="n"/>
      <c r="G457" s="29" t="n"/>
      <c r="I457" s="156" t="n"/>
      <c r="L457" s="33" t="n"/>
      <c r="M457" s="34" t="n"/>
      <c r="O457" s="34" t="n"/>
      <c r="P457" s="119" t="n"/>
      <c r="Q457" s="34" t="n"/>
      <c r="R457" s="119" t="n"/>
      <c r="T457" s="119" t="n"/>
      <c r="U457" s="34" t="n"/>
      <c r="V457" s="119" t="n"/>
    </row>
    <row r="458" ht="15" customFormat="1" customHeight="1" s="116">
      <c r="B458" s="117" t="n"/>
      <c r="C458" s="157" t="n"/>
      <c r="D458" s="28" t="n"/>
      <c r="E458" s="29" t="n"/>
      <c r="F458" s="29" t="n"/>
      <c r="G458" s="29" t="n"/>
      <c r="I458" s="156" t="n"/>
      <c r="L458" s="33" t="n"/>
      <c r="M458" s="34" t="n"/>
      <c r="O458" s="34" t="n"/>
      <c r="P458" s="119" t="n"/>
      <c r="Q458" s="34" t="n"/>
      <c r="R458" s="119" t="n"/>
      <c r="T458" s="119" t="n"/>
      <c r="U458" s="34" t="n"/>
      <c r="V458" s="119" t="n"/>
    </row>
    <row r="459" ht="15" customFormat="1" customHeight="1" s="116">
      <c r="B459" s="117" t="n"/>
      <c r="C459" s="157" t="n"/>
      <c r="D459" s="28" t="n"/>
      <c r="E459" s="29" t="n"/>
      <c r="F459" s="29" t="n"/>
      <c r="G459" s="29" t="n"/>
      <c r="I459" s="156" t="n"/>
      <c r="L459" s="33" t="n"/>
      <c r="M459" s="34" t="n"/>
      <c r="O459" s="34" t="n"/>
      <c r="P459" s="119" t="n"/>
      <c r="Q459" s="34" t="n"/>
      <c r="R459" s="119" t="n"/>
      <c r="T459" s="119" t="n"/>
      <c r="U459" s="34" t="n"/>
      <c r="V459" s="119" t="n"/>
    </row>
    <row r="460" ht="15" customFormat="1" customHeight="1" s="116">
      <c r="B460" s="117" t="n"/>
      <c r="C460" s="157" t="n"/>
      <c r="D460" s="28" t="n"/>
      <c r="E460" s="29" t="n"/>
      <c r="F460" s="29" t="n"/>
      <c r="G460" s="29" t="n"/>
      <c r="I460" s="156" t="n"/>
      <c r="L460" s="33" t="n"/>
      <c r="M460" s="34" t="n"/>
      <c r="O460" s="34" t="n"/>
      <c r="P460" s="119" t="n"/>
      <c r="Q460" s="34" t="n"/>
      <c r="R460" s="119" t="n"/>
      <c r="T460" s="119" t="n"/>
      <c r="U460" s="34" t="n"/>
      <c r="V460" s="119" t="n"/>
    </row>
    <row r="461" ht="15" customFormat="1" customHeight="1" s="116">
      <c r="B461" s="117" t="n"/>
      <c r="C461" s="157" t="n"/>
      <c r="D461" s="28" t="n"/>
      <c r="E461" s="29" t="n"/>
      <c r="F461" s="29" t="n"/>
      <c r="G461" s="29" t="n"/>
      <c r="I461" s="156" t="n"/>
      <c r="L461" s="33" t="n"/>
      <c r="M461" s="34" t="n"/>
      <c r="O461" s="34" t="n"/>
      <c r="P461" s="119" t="n"/>
      <c r="Q461" s="34" t="n"/>
      <c r="R461" s="119" t="n"/>
      <c r="T461" s="119" t="n"/>
      <c r="U461" s="34" t="n"/>
      <c r="V461" s="119" t="n"/>
    </row>
    <row r="462" ht="15" customFormat="1" customHeight="1" s="116">
      <c r="B462" s="117" t="n"/>
      <c r="C462" s="157" t="n"/>
      <c r="D462" s="28" t="n"/>
      <c r="E462" s="29" t="n"/>
      <c r="F462" s="29" t="n"/>
      <c r="G462" s="29" t="n"/>
      <c r="I462" s="156" t="n"/>
      <c r="L462" s="33" t="n"/>
      <c r="M462" s="34" t="n"/>
      <c r="O462" s="34" t="n"/>
      <c r="P462" s="119" t="n"/>
      <c r="Q462" s="34" t="n"/>
      <c r="R462" s="119" t="n"/>
      <c r="T462" s="119" t="n"/>
      <c r="U462" s="34" t="n"/>
      <c r="V462" s="119" t="n"/>
    </row>
    <row r="463" ht="15" customFormat="1" customHeight="1" s="116">
      <c r="B463" s="117" t="n"/>
      <c r="C463" s="157" t="n"/>
      <c r="D463" s="28" t="n"/>
      <c r="E463" s="29" t="n"/>
      <c r="F463" s="29" t="n"/>
      <c r="G463" s="29" t="n"/>
      <c r="I463" s="156" t="n"/>
      <c r="L463" s="33" t="n"/>
      <c r="M463" s="34" t="n"/>
      <c r="O463" s="34" t="n"/>
      <c r="P463" s="119" t="n"/>
      <c r="Q463" s="34" t="n"/>
      <c r="R463" s="119" t="n"/>
      <c r="T463" s="119" t="n"/>
      <c r="U463" s="34" t="n"/>
      <c r="V463" s="119" t="n"/>
    </row>
    <row r="464" ht="15" customFormat="1" customHeight="1" s="116">
      <c r="B464" s="117" t="n"/>
      <c r="C464" s="157" t="n"/>
      <c r="D464" s="28" t="n"/>
      <c r="E464" s="29" t="n"/>
      <c r="F464" s="29" t="n"/>
      <c r="G464" s="29" t="n"/>
      <c r="I464" s="156" t="n"/>
      <c r="L464" s="33" t="n"/>
      <c r="M464" s="34" t="n"/>
      <c r="O464" s="34" t="n"/>
      <c r="P464" s="119" t="n"/>
      <c r="Q464" s="34" t="n"/>
      <c r="R464" s="119" t="n"/>
      <c r="T464" s="119" t="n"/>
      <c r="U464" s="34" t="n"/>
      <c r="V464" s="119" t="n"/>
    </row>
    <row r="465" ht="15" customFormat="1" customHeight="1" s="116">
      <c r="B465" s="117" t="n"/>
      <c r="C465" s="157" t="n"/>
      <c r="D465" s="28" t="n"/>
      <c r="E465" s="29" t="n"/>
      <c r="F465" s="29" t="n"/>
      <c r="G465" s="29" t="n"/>
      <c r="I465" s="156" t="n"/>
      <c r="L465" s="33" t="n"/>
      <c r="M465" s="34" t="n"/>
      <c r="O465" s="34" t="n"/>
      <c r="P465" s="119" t="n"/>
      <c r="Q465" s="34" t="n"/>
      <c r="R465" s="119" t="n"/>
      <c r="T465" s="119" t="n"/>
      <c r="U465" s="34" t="n"/>
      <c r="V465" s="119" t="n"/>
    </row>
    <row r="466" ht="15" customFormat="1" customHeight="1" s="116">
      <c r="B466" s="117" t="n"/>
      <c r="C466" s="157" t="n"/>
      <c r="D466" s="28" t="n"/>
      <c r="E466" s="29" t="n"/>
      <c r="F466" s="29" t="n"/>
      <c r="G466" s="29" t="n"/>
      <c r="I466" s="156" t="n"/>
      <c r="L466" s="33" t="n"/>
      <c r="M466" s="34" t="n"/>
      <c r="O466" s="34" t="n"/>
      <c r="P466" s="119" t="n"/>
      <c r="Q466" s="34" t="n"/>
      <c r="R466" s="119" t="n"/>
      <c r="T466" s="119" t="n"/>
      <c r="U466" s="34" t="n"/>
      <c r="V466" s="119" t="n"/>
    </row>
    <row r="467" ht="15" customFormat="1" customHeight="1" s="116">
      <c r="B467" s="117" t="n"/>
      <c r="C467" s="157" t="n"/>
      <c r="D467" s="28" t="n"/>
      <c r="E467" s="29" t="n"/>
      <c r="F467" s="29" t="n"/>
      <c r="G467" s="29" t="n"/>
      <c r="I467" s="156" t="n"/>
      <c r="L467" s="33" t="n"/>
      <c r="M467" s="34" t="n"/>
      <c r="O467" s="34" t="n"/>
      <c r="P467" s="119" t="n"/>
      <c r="Q467" s="34" t="n"/>
      <c r="R467" s="119" t="n"/>
      <c r="T467" s="119" t="n"/>
      <c r="U467" s="34" t="n"/>
      <c r="V467" s="119" t="n"/>
    </row>
    <row r="468" ht="15" customFormat="1" customHeight="1" s="116">
      <c r="B468" s="117" t="n"/>
      <c r="C468" s="157" t="n"/>
      <c r="D468" s="28" t="n"/>
      <c r="E468" s="29" t="n"/>
      <c r="F468" s="29" t="n"/>
      <c r="G468" s="29" t="n"/>
      <c r="I468" s="156" t="n"/>
      <c r="L468" s="33" t="n"/>
      <c r="M468" s="34" t="n"/>
      <c r="O468" s="34" t="n"/>
      <c r="P468" s="119" t="n"/>
      <c r="Q468" s="34" t="n"/>
      <c r="R468" s="119" t="n"/>
      <c r="T468" s="119" t="n"/>
      <c r="U468" s="34" t="n"/>
      <c r="V468" s="119" t="n"/>
    </row>
    <row r="469" ht="15" customFormat="1" customHeight="1" s="116">
      <c r="B469" s="117" t="n"/>
      <c r="C469" s="157" t="n"/>
      <c r="D469" s="28" t="n"/>
      <c r="E469" s="29" t="n"/>
      <c r="F469" s="29" t="n"/>
      <c r="G469" s="29" t="n"/>
      <c r="I469" s="156" t="n"/>
      <c r="L469" s="33" t="n"/>
      <c r="M469" s="34" t="n"/>
      <c r="O469" s="34" t="n"/>
      <c r="P469" s="119" t="n"/>
      <c r="Q469" s="34" t="n"/>
      <c r="R469" s="119" t="n"/>
      <c r="T469" s="119" t="n"/>
      <c r="U469" s="34" t="n"/>
      <c r="V469" s="119" t="n"/>
    </row>
    <row r="470" ht="15" customFormat="1" customHeight="1" s="116">
      <c r="B470" s="117" t="n"/>
      <c r="C470" s="157" t="n"/>
      <c r="D470" s="28" t="n"/>
      <c r="E470" s="29" t="n"/>
      <c r="F470" s="29" t="n"/>
      <c r="G470" s="29" t="n"/>
      <c r="I470" s="156" t="n"/>
      <c r="L470" s="33" t="n"/>
      <c r="M470" s="34" t="n"/>
      <c r="O470" s="34" t="n"/>
      <c r="P470" s="119" t="n"/>
      <c r="Q470" s="34" t="n"/>
      <c r="R470" s="119" t="n"/>
      <c r="T470" s="119" t="n"/>
      <c r="U470" s="34" t="n"/>
      <c r="V470" s="119" t="n"/>
    </row>
    <row r="471" ht="15" customFormat="1" customHeight="1" s="116">
      <c r="B471" s="117" t="n"/>
      <c r="C471" s="157" t="n"/>
      <c r="D471" s="28" t="n"/>
      <c r="E471" s="29" t="n"/>
      <c r="F471" s="29" t="n"/>
      <c r="G471" s="29" t="n"/>
      <c r="I471" s="156" t="n"/>
      <c r="L471" s="33" t="n"/>
      <c r="M471" s="34" t="n"/>
      <c r="O471" s="34" t="n"/>
      <c r="P471" s="119" t="n"/>
      <c r="Q471" s="34" t="n"/>
      <c r="R471" s="119" t="n"/>
      <c r="T471" s="119" t="n"/>
      <c r="U471" s="34" t="n"/>
      <c r="V471" s="119" t="n"/>
    </row>
    <row r="472" ht="15" customFormat="1" customHeight="1" s="116">
      <c r="B472" s="117" t="n"/>
      <c r="C472" s="157" t="n"/>
      <c r="D472" s="28" t="n"/>
      <c r="E472" s="29" t="n"/>
      <c r="F472" s="29" t="n"/>
      <c r="G472" s="29" t="n"/>
      <c r="I472" s="156" t="n"/>
      <c r="L472" s="33" t="n"/>
      <c r="M472" s="34" t="n"/>
      <c r="O472" s="34" t="n"/>
      <c r="P472" s="119" t="n"/>
      <c r="Q472" s="34" t="n"/>
      <c r="R472" s="119" t="n"/>
      <c r="T472" s="119" t="n"/>
      <c r="U472" s="34" t="n"/>
      <c r="V472" s="119" t="n"/>
    </row>
    <row r="473" ht="15" customFormat="1" customHeight="1" s="116">
      <c r="B473" s="117" t="n"/>
      <c r="C473" s="157" t="n"/>
      <c r="D473" s="28" t="n"/>
      <c r="E473" s="29" t="n"/>
      <c r="F473" s="29" t="n"/>
      <c r="G473" s="29" t="n"/>
      <c r="I473" s="156" t="n"/>
      <c r="L473" s="33" t="n"/>
      <c r="M473" s="34" t="n"/>
      <c r="O473" s="34" t="n"/>
      <c r="P473" s="119" t="n"/>
      <c r="Q473" s="34" t="n"/>
      <c r="R473" s="119" t="n"/>
      <c r="T473" s="119" t="n"/>
      <c r="U473" s="34" t="n"/>
      <c r="V473" s="119" t="n"/>
    </row>
    <row r="474" ht="15" customFormat="1" customHeight="1" s="116">
      <c r="B474" s="117" t="n"/>
      <c r="C474" s="157" t="n"/>
      <c r="D474" s="28" t="n"/>
      <c r="E474" s="29" t="n"/>
      <c r="F474" s="29" t="n"/>
      <c r="G474" s="29" t="n"/>
      <c r="I474" s="156" t="n"/>
      <c r="L474" s="33" t="n"/>
      <c r="M474" s="34" t="n"/>
      <c r="O474" s="34" t="n"/>
      <c r="P474" s="119" t="n"/>
      <c r="Q474" s="34" t="n"/>
      <c r="R474" s="119" t="n"/>
      <c r="T474" s="119" t="n"/>
      <c r="U474" s="34" t="n"/>
      <c r="V474" s="119" t="n"/>
    </row>
    <row r="475" ht="15" customFormat="1" customHeight="1" s="116">
      <c r="B475" s="117" t="n"/>
      <c r="C475" s="157" t="n"/>
      <c r="D475" s="28" t="n"/>
      <c r="E475" s="29" t="n"/>
      <c r="F475" s="29" t="n"/>
      <c r="G475" s="29" t="n"/>
      <c r="I475" s="156" t="n"/>
      <c r="L475" s="33" t="n"/>
      <c r="M475" s="34" t="n"/>
      <c r="O475" s="34" t="n"/>
      <c r="P475" s="119" t="n"/>
      <c r="Q475" s="34" t="n"/>
      <c r="R475" s="119" t="n"/>
      <c r="T475" s="119" t="n"/>
      <c r="U475" s="34" t="n"/>
      <c r="V475" s="119" t="n"/>
    </row>
    <row r="476" ht="15" customFormat="1" customHeight="1" s="116">
      <c r="B476" s="117" t="n"/>
      <c r="C476" s="157" t="n"/>
      <c r="D476" s="28" t="n"/>
      <c r="E476" s="29" t="n"/>
      <c r="F476" s="29" t="n"/>
      <c r="G476" s="29" t="n"/>
      <c r="I476" s="156" t="n"/>
      <c r="L476" s="33" t="n"/>
      <c r="M476" s="34" t="n"/>
      <c r="O476" s="34" t="n"/>
      <c r="P476" s="119" t="n"/>
      <c r="Q476" s="34" t="n"/>
      <c r="R476" s="119" t="n"/>
      <c r="T476" s="119" t="n"/>
      <c r="U476" s="34" t="n"/>
      <c r="V476" s="119" t="n"/>
    </row>
    <row r="477" ht="15" customFormat="1" customHeight="1" s="116">
      <c r="B477" s="117" t="n"/>
      <c r="C477" s="157" t="n"/>
      <c r="D477" s="28" t="n"/>
      <c r="E477" s="29" t="n"/>
      <c r="F477" s="29" t="n"/>
      <c r="G477" s="29" t="n"/>
      <c r="I477" s="156" t="n"/>
      <c r="L477" s="33" t="n"/>
      <c r="M477" s="34" t="n"/>
      <c r="O477" s="34" t="n"/>
      <c r="P477" s="119" t="n"/>
      <c r="Q477" s="34" t="n"/>
      <c r="R477" s="119" t="n"/>
      <c r="T477" s="119" t="n"/>
      <c r="U477" s="34" t="n"/>
      <c r="V477" s="119" t="n"/>
    </row>
    <row r="478" ht="15" customFormat="1" customHeight="1" s="116">
      <c r="B478" s="117" t="n"/>
      <c r="C478" s="157" t="n"/>
      <c r="D478" s="28" t="n"/>
      <c r="E478" s="29" t="n"/>
      <c r="F478" s="29" t="n"/>
      <c r="G478" s="29" t="n"/>
      <c r="I478" s="156" t="n"/>
      <c r="L478" s="33" t="n"/>
      <c r="M478" s="34" t="n"/>
      <c r="O478" s="34" t="n"/>
      <c r="P478" s="119" t="n"/>
      <c r="Q478" s="34" t="n"/>
      <c r="R478" s="119" t="n"/>
      <c r="T478" s="119" t="n"/>
      <c r="U478" s="34" t="n"/>
      <c r="V478" s="119" t="n"/>
    </row>
    <row r="479" ht="15" customFormat="1" customHeight="1" s="116">
      <c r="B479" s="117" t="n"/>
      <c r="C479" s="157" t="n"/>
      <c r="D479" s="28" t="n"/>
      <c r="E479" s="29" t="n"/>
      <c r="F479" s="29" t="n"/>
      <c r="G479" s="29" t="n"/>
      <c r="I479" s="156" t="n"/>
      <c r="L479" s="33" t="n"/>
      <c r="M479" s="34" t="n"/>
      <c r="O479" s="34" t="n"/>
      <c r="P479" s="119" t="n"/>
      <c r="Q479" s="34" t="n"/>
      <c r="R479" s="119" t="n"/>
      <c r="T479" s="119" t="n"/>
      <c r="U479" s="34" t="n"/>
      <c r="V479" s="119" t="n"/>
    </row>
    <row r="480" ht="15" customFormat="1" customHeight="1" s="116">
      <c r="B480" s="117" t="n"/>
      <c r="C480" s="157" t="n"/>
      <c r="D480" s="28" t="n"/>
      <c r="E480" s="29" t="n"/>
      <c r="F480" s="29" t="n"/>
      <c r="G480" s="29" t="n"/>
      <c r="I480" s="156" t="n"/>
      <c r="L480" s="33" t="n"/>
      <c r="M480" s="34" t="n"/>
      <c r="O480" s="34" t="n"/>
      <c r="P480" s="119" t="n"/>
      <c r="Q480" s="34" t="n"/>
      <c r="R480" s="119" t="n"/>
      <c r="T480" s="119" t="n"/>
      <c r="U480" s="34" t="n"/>
      <c r="V480" s="119" t="n"/>
    </row>
    <row r="481" ht="15" customFormat="1" customHeight="1" s="116">
      <c r="B481" s="117" t="n"/>
      <c r="C481" s="157" t="n"/>
      <c r="D481" s="28" t="n"/>
      <c r="E481" s="29" t="n"/>
      <c r="F481" s="29" t="n"/>
      <c r="G481" s="29" t="n"/>
      <c r="I481" s="156" t="n"/>
      <c r="L481" s="33" t="n"/>
      <c r="M481" s="34" t="n"/>
      <c r="O481" s="34" t="n"/>
      <c r="P481" s="119" t="n"/>
      <c r="Q481" s="34" t="n"/>
      <c r="R481" s="119" t="n"/>
      <c r="T481" s="119" t="n"/>
      <c r="U481" s="34" t="n"/>
      <c r="V481" s="119" t="n"/>
    </row>
    <row r="482" ht="15" customFormat="1" customHeight="1" s="116">
      <c r="B482" s="117" t="n"/>
      <c r="C482" s="157" t="n"/>
      <c r="D482" s="28" t="n"/>
      <c r="E482" s="29" t="n"/>
      <c r="F482" s="29" t="n"/>
      <c r="G482" s="29" t="n"/>
      <c r="I482" s="156" t="n"/>
      <c r="L482" s="33" t="n"/>
      <c r="M482" s="34" t="n"/>
      <c r="O482" s="34" t="n"/>
      <c r="P482" s="119" t="n"/>
      <c r="Q482" s="34" t="n"/>
      <c r="R482" s="119" t="n"/>
      <c r="T482" s="119" t="n"/>
      <c r="U482" s="34" t="n"/>
      <c r="V482" s="119" t="n"/>
    </row>
    <row r="483" ht="15" customFormat="1" customHeight="1" s="116">
      <c r="B483" s="117" t="n"/>
      <c r="C483" s="157" t="n"/>
      <c r="D483" s="28" t="n"/>
      <c r="E483" s="29" t="n"/>
      <c r="F483" s="29" t="n"/>
      <c r="G483" s="29" t="n"/>
      <c r="I483" s="156" t="n"/>
      <c r="L483" s="33" t="n"/>
      <c r="M483" s="34" t="n"/>
      <c r="O483" s="34" t="n"/>
      <c r="P483" s="119" t="n"/>
      <c r="Q483" s="34" t="n"/>
      <c r="R483" s="119" t="n"/>
      <c r="T483" s="119" t="n"/>
      <c r="U483" s="34" t="n"/>
      <c r="V483" s="119" t="n"/>
    </row>
    <row r="484" ht="15" customFormat="1" customHeight="1" s="116">
      <c r="B484" s="117" t="n"/>
      <c r="C484" s="157" t="n"/>
      <c r="D484" s="28" t="n"/>
      <c r="E484" s="29" t="n"/>
      <c r="F484" s="29" t="n"/>
      <c r="G484" s="29" t="n"/>
      <c r="I484" s="156" t="n"/>
      <c r="L484" s="33" t="n"/>
      <c r="M484" s="34" t="n"/>
      <c r="O484" s="34" t="n"/>
      <c r="P484" s="119" t="n"/>
      <c r="Q484" s="34" t="n"/>
      <c r="R484" s="119" t="n"/>
      <c r="T484" s="119" t="n"/>
      <c r="U484" s="34" t="n"/>
      <c r="V484" s="119" t="n"/>
    </row>
    <row r="485" ht="15" customFormat="1" customHeight="1" s="116">
      <c r="B485" s="117" t="n"/>
      <c r="C485" s="157" t="n"/>
      <c r="D485" s="28" t="n"/>
      <c r="E485" s="29" t="n"/>
      <c r="F485" s="29" t="n"/>
      <c r="G485" s="29" t="n"/>
      <c r="I485" s="156" t="n"/>
      <c r="L485" s="33" t="n"/>
      <c r="M485" s="34" t="n"/>
      <c r="O485" s="34" t="n"/>
      <c r="P485" s="119" t="n"/>
      <c r="Q485" s="34" t="n"/>
      <c r="R485" s="119" t="n"/>
      <c r="T485" s="119" t="n"/>
      <c r="U485" s="34" t="n"/>
      <c r="V485" s="119" t="n"/>
    </row>
    <row r="486" ht="15" customFormat="1" customHeight="1" s="116">
      <c r="B486" s="117" t="n"/>
      <c r="C486" s="157" t="n"/>
      <c r="D486" s="28" t="n"/>
      <c r="E486" s="29" t="n"/>
      <c r="F486" s="29" t="n"/>
      <c r="G486" s="29" t="n"/>
      <c r="I486" s="156" t="n"/>
      <c r="L486" s="33" t="n"/>
      <c r="M486" s="34" t="n"/>
      <c r="O486" s="34" t="n"/>
      <c r="P486" s="119" t="n"/>
      <c r="Q486" s="34" t="n"/>
      <c r="R486" s="119" t="n"/>
      <c r="T486" s="119" t="n"/>
      <c r="U486" s="34" t="n"/>
      <c r="V486" s="119" t="n"/>
    </row>
    <row r="487" ht="15" customFormat="1" customHeight="1" s="116">
      <c r="B487" s="117" t="n"/>
      <c r="C487" s="157" t="n"/>
      <c r="D487" s="28" t="n"/>
      <c r="E487" s="29" t="n"/>
      <c r="F487" s="29" t="n"/>
      <c r="G487" s="29" t="n"/>
      <c r="I487" s="156" t="n"/>
      <c r="L487" s="33" t="n"/>
      <c r="M487" s="34" t="n"/>
      <c r="O487" s="34" t="n"/>
      <c r="P487" s="119" t="n"/>
      <c r="Q487" s="34" t="n"/>
      <c r="R487" s="119" t="n"/>
      <c r="T487" s="119" t="n"/>
      <c r="U487" s="34" t="n"/>
      <c r="V487" s="119" t="n"/>
    </row>
    <row r="488" ht="15" customFormat="1" customHeight="1" s="116">
      <c r="B488" s="117" t="n"/>
      <c r="C488" s="157" t="n"/>
      <c r="D488" s="28" t="n"/>
      <c r="E488" s="29" t="n"/>
      <c r="F488" s="29" t="n"/>
      <c r="G488" s="29" t="n"/>
      <c r="I488" s="156" t="n"/>
      <c r="L488" s="33" t="n"/>
      <c r="M488" s="34" t="n"/>
      <c r="O488" s="34" t="n"/>
      <c r="P488" s="119" t="n"/>
      <c r="Q488" s="34" t="n"/>
      <c r="R488" s="119" t="n"/>
      <c r="T488" s="119" t="n"/>
      <c r="U488" s="34" t="n"/>
      <c r="V488" s="119" t="n"/>
    </row>
    <row r="489" ht="15" customFormat="1" customHeight="1" s="116">
      <c r="B489" s="117" t="n"/>
      <c r="C489" s="157" t="n"/>
      <c r="D489" s="28" t="n"/>
      <c r="E489" s="29" t="n"/>
      <c r="F489" s="29" t="n"/>
      <c r="G489" s="29" t="n"/>
      <c r="I489" s="156" t="n"/>
      <c r="L489" s="33" t="n"/>
      <c r="M489" s="34" t="n"/>
      <c r="O489" s="34" t="n"/>
      <c r="P489" s="119" t="n"/>
      <c r="Q489" s="34" t="n"/>
      <c r="R489" s="119" t="n"/>
      <c r="T489" s="119" t="n"/>
      <c r="U489" s="34" t="n"/>
      <c r="V489" s="119" t="n"/>
    </row>
    <row r="490" ht="15" customFormat="1" customHeight="1" s="116">
      <c r="B490" s="117" t="n"/>
      <c r="C490" s="157" t="n"/>
      <c r="D490" s="28" t="n"/>
      <c r="E490" s="29" t="n"/>
      <c r="F490" s="29" t="n"/>
      <c r="G490" s="29" t="n"/>
      <c r="I490" s="156" t="n"/>
      <c r="L490" s="33" t="n"/>
      <c r="M490" s="34" t="n"/>
      <c r="O490" s="34" t="n"/>
      <c r="P490" s="119" t="n"/>
      <c r="Q490" s="34" t="n"/>
      <c r="R490" s="119" t="n"/>
      <c r="T490" s="119" t="n"/>
      <c r="U490" s="34" t="n"/>
      <c r="V490" s="119" t="n"/>
    </row>
    <row r="491" ht="15" customFormat="1" customHeight="1" s="116">
      <c r="B491" s="117" t="n"/>
      <c r="C491" s="157" t="n"/>
      <c r="D491" s="28" t="n"/>
      <c r="E491" s="29" t="n"/>
      <c r="F491" s="29" t="n"/>
      <c r="G491" s="29" t="n"/>
      <c r="I491" s="156" t="n"/>
      <c r="L491" s="33" t="n"/>
      <c r="M491" s="34" t="n"/>
      <c r="O491" s="34" t="n"/>
      <c r="P491" s="119" t="n"/>
      <c r="Q491" s="34" t="n"/>
      <c r="R491" s="119" t="n"/>
      <c r="T491" s="119" t="n"/>
      <c r="U491" s="34" t="n"/>
      <c r="V491" s="119" t="n"/>
    </row>
    <row r="492" ht="15" customFormat="1" customHeight="1" s="116">
      <c r="B492" s="117" t="n"/>
      <c r="C492" s="157" t="n"/>
      <c r="D492" s="28" t="n"/>
      <c r="E492" s="29" t="n"/>
      <c r="F492" s="29" t="n"/>
      <c r="G492" s="29" t="n"/>
      <c r="I492" s="156" t="n"/>
      <c r="L492" s="33" t="n"/>
      <c r="M492" s="34" t="n"/>
      <c r="O492" s="34" t="n"/>
      <c r="P492" s="119" t="n"/>
      <c r="Q492" s="34" t="n"/>
      <c r="R492" s="119" t="n"/>
      <c r="T492" s="119" t="n"/>
      <c r="U492" s="34" t="n"/>
      <c r="V492" s="119" t="n"/>
    </row>
    <row r="493" ht="15" customFormat="1" customHeight="1" s="116">
      <c r="B493" s="117" t="n"/>
      <c r="C493" s="157" t="n"/>
      <c r="D493" s="28" t="n"/>
      <c r="E493" s="29" t="n"/>
      <c r="F493" s="29" t="n"/>
      <c r="G493" s="29" t="n"/>
      <c r="I493" s="156" t="n"/>
      <c r="L493" s="33" t="n"/>
      <c r="M493" s="34" t="n"/>
      <c r="O493" s="34" t="n"/>
      <c r="P493" s="119" t="n"/>
      <c r="Q493" s="34" t="n"/>
      <c r="R493" s="119" t="n"/>
      <c r="T493" s="119" t="n"/>
      <c r="U493" s="34" t="n"/>
      <c r="V493" s="119" t="n"/>
    </row>
    <row r="494" ht="15" customFormat="1" customHeight="1" s="116">
      <c r="B494" s="117" t="n"/>
      <c r="C494" s="157" t="n"/>
      <c r="D494" s="28" t="n"/>
      <c r="E494" s="29" t="n"/>
      <c r="F494" s="29" t="n"/>
      <c r="G494" s="29" t="n"/>
      <c r="I494" s="156" t="n"/>
      <c r="L494" s="33" t="n"/>
      <c r="M494" s="34" t="n"/>
      <c r="O494" s="34" t="n"/>
      <c r="P494" s="119" t="n"/>
      <c r="Q494" s="34" t="n"/>
      <c r="R494" s="119" t="n"/>
      <c r="T494" s="119" t="n"/>
      <c r="U494" s="34" t="n"/>
      <c r="V494" s="119" t="n"/>
    </row>
    <row r="495" ht="15" customFormat="1" customHeight="1" s="116">
      <c r="B495" s="117" t="n"/>
      <c r="C495" s="157" t="n"/>
      <c r="D495" s="28" t="n"/>
      <c r="E495" s="29" t="n"/>
      <c r="F495" s="29" t="n"/>
      <c r="G495" s="29" t="n"/>
      <c r="I495" s="156" t="n"/>
      <c r="L495" s="33" t="n"/>
      <c r="M495" s="34" t="n"/>
      <c r="O495" s="34" t="n"/>
      <c r="P495" s="119" t="n"/>
      <c r="Q495" s="34" t="n"/>
      <c r="R495" s="119" t="n"/>
      <c r="T495" s="119" t="n"/>
      <c r="U495" s="34" t="n"/>
      <c r="V495" s="119" t="n"/>
    </row>
    <row r="496" ht="15" customFormat="1" customHeight="1" s="116">
      <c r="B496" s="117" t="n"/>
      <c r="C496" s="157" t="n"/>
      <c r="D496" s="28" t="n"/>
      <c r="E496" s="29" t="n"/>
      <c r="F496" s="29" t="n"/>
      <c r="G496" s="29" t="n"/>
      <c r="I496" s="156" t="n"/>
      <c r="L496" s="33" t="n"/>
      <c r="M496" s="34" t="n"/>
      <c r="O496" s="34" t="n"/>
      <c r="P496" s="119" t="n"/>
      <c r="Q496" s="34" t="n"/>
      <c r="R496" s="119" t="n"/>
      <c r="T496" s="119" t="n"/>
      <c r="U496" s="34" t="n"/>
      <c r="V496" s="119" t="n"/>
    </row>
    <row r="497" ht="15" customFormat="1" customHeight="1" s="116">
      <c r="B497" s="117" t="n"/>
      <c r="C497" s="157" t="n"/>
      <c r="D497" s="28" t="n"/>
      <c r="E497" s="29" t="n"/>
      <c r="F497" s="29" t="n"/>
      <c r="G497" s="29" t="n"/>
      <c r="I497" s="156" t="n"/>
      <c r="L497" s="33" t="n"/>
      <c r="M497" s="34" t="n"/>
      <c r="O497" s="34" t="n"/>
      <c r="P497" s="119" t="n"/>
      <c r="Q497" s="34" t="n"/>
      <c r="R497" s="119" t="n"/>
      <c r="T497" s="119" t="n"/>
      <c r="U497" s="34" t="n"/>
      <c r="V497" s="119" t="n"/>
    </row>
    <row r="498" ht="15" customFormat="1" customHeight="1" s="116">
      <c r="B498" s="117" t="n"/>
      <c r="C498" s="157" t="n"/>
      <c r="D498" s="28" t="n"/>
      <c r="E498" s="29" t="n"/>
      <c r="F498" s="29" t="n"/>
      <c r="G498" s="29" t="n"/>
      <c r="I498" s="156" t="n"/>
      <c r="L498" s="33" t="n"/>
      <c r="M498" s="34" t="n"/>
      <c r="O498" s="34" t="n"/>
      <c r="P498" s="119" t="n"/>
      <c r="Q498" s="34" t="n"/>
      <c r="R498" s="119" t="n"/>
      <c r="T498" s="119" t="n"/>
      <c r="U498" s="34" t="n"/>
      <c r="V498" s="119" t="n"/>
    </row>
    <row r="499" ht="15" customFormat="1" customHeight="1" s="116">
      <c r="B499" s="117" t="n"/>
      <c r="C499" s="157" t="n"/>
      <c r="D499" s="28" t="n"/>
      <c r="E499" s="29" t="n"/>
      <c r="F499" s="29" t="n"/>
      <c r="G499" s="29" t="n"/>
      <c r="I499" s="156" t="n"/>
      <c r="L499" s="33" t="n"/>
      <c r="M499" s="34" t="n"/>
      <c r="O499" s="34" t="n"/>
      <c r="P499" s="119" t="n"/>
      <c r="Q499" s="34" t="n"/>
      <c r="R499" s="119" t="n"/>
      <c r="T499" s="119" t="n"/>
      <c r="U499" s="34" t="n"/>
      <c r="V499" s="119" t="n"/>
    </row>
    <row r="500" ht="15" customFormat="1" customHeight="1" s="116">
      <c r="B500" s="117" t="n"/>
      <c r="C500" s="157" t="n"/>
      <c r="D500" s="28" t="n"/>
      <c r="E500" s="29" t="n"/>
      <c r="F500" s="29" t="n"/>
      <c r="G500" s="29" t="n"/>
      <c r="I500" s="156" t="n"/>
      <c r="L500" s="33" t="n"/>
      <c r="M500" s="34" t="n"/>
      <c r="O500" s="34" t="n"/>
      <c r="P500" s="119" t="n"/>
      <c r="Q500" s="34" t="n"/>
      <c r="R500" s="119" t="n"/>
      <c r="T500" s="119" t="n"/>
      <c r="U500" s="34" t="n"/>
      <c r="V500" s="119" t="n"/>
    </row>
    <row r="501" ht="15" customFormat="1" customHeight="1" s="116">
      <c r="B501" s="117" t="n"/>
      <c r="C501" s="157" t="n"/>
      <c r="D501" s="28" t="n"/>
      <c r="E501" s="29" t="n"/>
      <c r="F501" s="29" t="n"/>
      <c r="G501" s="29" t="n"/>
      <c r="I501" s="156" t="n"/>
      <c r="L501" s="33" t="n"/>
      <c r="M501" s="34" t="n"/>
      <c r="O501" s="34" t="n"/>
      <c r="P501" s="119" t="n"/>
      <c r="Q501" s="34" t="n"/>
      <c r="R501" s="119" t="n"/>
      <c r="T501" s="119" t="n"/>
      <c r="U501" s="34" t="n"/>
      <c r="V501" s="119" t="n"/>
    </row>
    <row r="502" ht="15" customFormat="1" customHeight="1" s="116">
      <c r="B502" s="117" t="n"/>
      <c r="C502" s="157" t="n"/>
      <c r="D502" s="28" t="n"/>
      <c r="E502" s="29" t="n"/>
      <c r="F502" s="29" t="n"/>
      <c r="G502" s="29" t="n"/>
      <c r="I502" s="156" t="n"/>
      <c r="L502" s="33" t="n"/>
      <c r="M502" s="34" t="n"/>
      <c r="O502" s="34" t="n"/>
      <c r="P502" s="119" t="n"/>
      <c r="Q502" s="34" t="n"/>
      <c r="R502" s="119" t="n"/>
      <c r="T502" s="119" t="n"/>
      <c r="U502" s="34" t="n"/>
      <c r="V502" s="119" t="n"/>
    </row>
  </sheetData>
  <autoFilter ref="A1:AC502">
    <sortState ref="A2:AC502">
      <sortCondition ref="M1:M502"/>
    </sortState>
  </autoFilter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Lee Hudson</dc:creator>
  <dcterms:created xsi:type="dcterms:W3CDTF">2010-05-13T01:42:58Z</dcterms:created>
  <dcterms:modified xsi:type="dcterms:W3CDTF">2026-06-25T08:39:56Z</dcterms:modified>
  <cp:lastModifiedBy>Lee Hudson</cp:lastModifiedBy>
  <cp:lastPrinted>2019-01-23T18:36:35Z</cp:lastPrinted>
</cp:coreProperties>
</file>