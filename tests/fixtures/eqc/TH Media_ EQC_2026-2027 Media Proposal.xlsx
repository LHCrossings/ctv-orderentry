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armaine\AppData\Local\Microsoft\Windows\INetCache\Content.Outlook\FFI72MAR\"/>
    </mc:Choice>
  </mc:AlternateContent>
  <xr:revisionPtr revIDLastSave="0" documentId="13_ncr:1_{3C547F97-2389-4D33-89F9-8DC431B55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H38" i="1"/>
  <c r="I38" i="1"/>
  <c r="J38" i="1"/>
  <c r="K38" i="1"/>
  <c r="L38" i="1"/>
  <c r="M38" i="1"/>
  <c r="N38" i="1"/>
  <c r="O38" i="1"/>
  <c r="P38" i="1"/>
  <c r="Q38" i="1"/>
  <c r="F38" i="1"/>
  <c r="G37" i="1"/>
  <c r="H37" i="1"/>
  <c r="I37" i="1"/>
  <c r="J37" i="1"/>
  <c r="K37" i="1"/>
  <c r="L37" i="1"/>
  <c r="M37" i="1"/>
  <c r="N37" i="1"/>
  <c r="O37" i="1"/>
  <c r="P37" i="1"/>
  <c r="Q37" i="1"/>
  <c r="F37" i="1"/>
  <c r="F18" i="1"/>
  <c r="R19" i="1"/>
  <c r="Q19" i="1"/>
  <c r="P19" i="1"/>
  <c r="O19" i="1"/>
  <c r="N19" i="1"/>
  <c r="M19" i="1"/>
  <c r="K19" i="1"/>
  <c r="J19" i="1"/>
  <c r="I19" i="1"/>
  <c r="H19" i="1"/>
  <c r="R18" i="1"/>
  <c r="Q18" i="1"/>
  <c r="P18" i="1"/>
  <c r="O18" i="1"/>
  <c r="N18" i="1"/>
  <c r="M18" i="1"/>
  <c r="K18" i="1"/>
  <c r="J18" i="1"/>
  <c r="I18" i="1"/>
  <c r="H18" i="1"/>
  <c r="G19" i="1"/>
  <c r="F19" i="1"/>
  <c r="G18" i="1"/>
  <c r="F39" i="1" l="1"/>
  <c r="O20" i="1"/>
  <c r="J20" i="1"/>
  <c r="M20" i="1"/>
  <c r="F20" i="1"/>
  <c r="J39" i="1"/>
  <c r="H39" i="1"/>
  <c r="P39" i="1"/>
  <c r="L39" i="1"/>
  <c r="N39" i="1"/>
  <c r="H20" i="1"/>
  <c r="Q20" i="1"/>
</calcChain>
</file>

<file path=xl/sharedStrings.xml><?xml version="1.0" encoding="utf-8"?>
<sst xmlns="http://schemas.openxmlformats.org/spreadsheetml/2006/main" count="79" uniqueCount="53">
  <si>
    <t xml:space="preserve"> &amp;</t>
  </si>
  <si>
    <t>TV Station</t>
  </si>
  <si>
    <t>Crossings TV</t>
  </si>
  <si>
    <t>Market:</t>
  </si>
  <si>
    <t>Seattle</t>
  </si>
  <si>
    <t>Channel:</t>
  </si>
  <si>
    <t>Xfinity TV 3131</t>
  </si>
  <si>
    <t xml:space="preserve">October </t>
  </si>
  <si>
    <t>November</t>
  </si>
  <si>
    <t>December</t>
  </si>
  <si>
    <t>January</t>
  </si>
  <si>
    <t>February</t>
  </si>
  <si>
    <t>March</t>
  </si>
  <si>
    <t>PROGRAM</t>
  </si>
  <si>
    <t>SCHEDULE</t>
  </si>
  <si>
    <t>RATE</t>
  </si>
  <si>
    <t>Shanghai Primetime News</t>
  </si>
  <si>
    <t>M-Sun 8p-9p</t>
  </si>
  <si>
    <t>Chinese Drama</t>
  </si>
  <si>
    <t>M-F 9p-10p</t>
  </si>
  <si>
    <t>Chinese Reality</t>
  </si>
  <si>
    <t>Sat &amp; Sun  9p-12a</t>
  </si>
  <si>
    <t>Vietnamese  News/Variety</t>
  </si>
  <si>
    <t>M-Sun 11a-12p</t>
  </si>
  <si>
    <t>Vietnamese Drama</t>
  </si>
  <si>
    <t>M-Sun 12p-1p</t>
  </si>
  <si>
    <t>Filipino News/Talk</t>
  </si>
  <si>
    <t>M-F 6p-7p</t>
  </si>
  <si>
    <t xml:space="preserve">Chinese </t>
  </si>
  <si>
    <t>M-Sun 7p-12a</t>
  </si>
  <si>
    <t xml:space="preserve">Vietnamese </t>
  </si>
  <si>
    <t xml:space="preserve">Filipino </t>
  </si>
  <si>
    <t>Paid Units</t>
  </si>
  <si>
    <t>Bonus Units</t>
  </si>
  <si>
    <t>Total Units (paid + bonus)</t>
  </si>
  <si>
    <t>Gross Amount</t>
  </si>
  <si>
    <t>Estimated Impressions</t>
  </si>
  <si>
    <t>April</t>
  </si>
  <si>
    <t xml:space="preserve">May </t>
  </si>
  <si>
    <t>June</t>
  </si>
  <si>
    <t>July</t>
  </si>
  <si>
    <t>August</t>
  </si>
  <si>
    <t>September</t>
  </si>
  <si>
    <t>*Added Values</t>
  </si>
  <si>
    <t xml:space="preserve">Crossings TV will provide voiceover translation in Mandarin, Vietnamese </t>
  </si>
  <si>
    <t>and will use English version for the Filipino.</t>
  </si>
  <si>
    <t xml:space="preserve">Retail value </t>
  </si>
  <si>
    <t>$625  per :30seconds TV spot in Mandarin and Vietnamese</t>
  </si>
  <si>
    <t>TH Media</t>
  </si>
  <si>
    <t>Thank you and we appreciate your partnership.</t>
  </si>
  <si>
    <t>2026-2027   Flight schedule</t>
  </si>
  <si>
    <t>M-Sun 10a-1p</t>
  </si>
  <si>
    <t>M-Sun 4p-7p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</si>
</sst>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b/>
      <sz val="18"/>
      <color theme="1"/>
      <name val="Aptos Narrow"/>
      <family val="2"/>
    </font>
    <font>
      <i/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b/>
      <i/>
      <sz val="14"/>
      <color theme="1"/>
      <name val="Aptos Narrow"/>
      <family val="2"/>
    </font>
    <font>
      <sz val="14"/>
      <color theme="1"/>
      <name val="Aptos Narrow"/>
      <family val="2"/>
    </font>
    <font>
      <b/>
      <i/>
      <sz val="11"/>
      <color theme="1"/>
      <name val="Aptos Narrow"/>
      <family val="2"/>
    </font>
    <font>
      <sz val="11"/>
      <color rgb="FFFF0000"/>
      <name val="Aptos Narrow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D4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4" fillId="0" borderId="0"/>
  </cellStyleXfs>
  <cellXfs count="8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44" fontId="3" fillId="4" borderId="3" xfId="1" applyFont="1" applyFill="1" applyBorder="1" applyAlignment="1">
      <alignment horizontal="center"/>
    </xf>
    <xf numFmtId="44" fontId="3" fillId="6" borderId="3" xfId="1" applyFont="1" applyFill="1" applyBorder="1" applyAlignment="1">
      <alignment horizontal="center"/>
    </xf>
    <xf numFmtId="44" fontId="3" fillId="3" borderId="3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0" fillId="0" borderId="5" xfId="0" applyFont="1" applyBorder="1"/>
    <xf numFmtId="0" fontId="10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11" fillId="0" borderId="0" xfId="0" applyFont="1" applyAlignment="1">
      <alignment horizontal="center"/>
    </xf>
    <xf numFmtId="0" fontId="3" fillId="0" borderId="9" xfId="0" applyFont="1" applyBorder="1"/>
    <xf numFmtId="0" fontId="12" fillId="0" borderId="0" xfId="0" applyFont="1"/>
    <xf numFmtId="0" fontId="3" fillId="0" borderId="10" xfId="0" applyFont="1" applyBorder="1"/>
    <xf numFmtId="0" fontId="12" fillId="0" borderId="9" xfId="0" applyFont="1" applyBorder="1"/>
    <xf numFmtId="6" fontId="3" fillId="0" borderId="0" xfId="0" applyNumberFormat="1" applyFont="1"/>
    <xf numFmtId="0" fontId="12" fillId="0" borderId="4" xfId="0" applyFont="1" applyBorder="1"/>
    <xf numFmtId="6" fontId="3" fillId="0" borderId="6" xfId="0" applyNumberFormat="1" applyFont="1" applyBorder="1"/>
    <xf numFmtId="0" fontId="3" fillId="0" borderId="6" xfId="0" applyFont="1" applyBorder="1"/>
    <xf numFmtId="0" fontId="3" fillId="0" borderId="2" xfId="0" applyFont="1" applyBorder="1"/>
    <xf numFmtId="0" fontId="3" fillId="8" borderId="1" xfId="0" applyFont="1" applyFill="1" applyBorder="1" applyAlignment="1">
      <alignment horizontal="center"/>
    </xf>
    <xf numFmtId="44" fontId="3" fillId="8" borderId="3" xfId="1" applyFont="1" applyFill="1" applyBorder="1" applyAlignment="1">
      <alignment horizontal="center"/>
    </xf>
    <xf numFmtId="16" fontId="8" fillId="2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6" fontId="13" fillId="7" borderId="1" xfId="0" applyNumberFormat="1" applyFont="1" applyFill="1" applyBorder="1" applyAlignment="1">
      <alignment horizontal="center"/>
    </xf>
    <xf numFmtId="3" fontId="13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6" fontId="13" fillId="7" borderId="3" xfId="0" applyNumberFormat="1" applyFont="1" applyFill="1" applyBorder="1" applyAlignment="1">
      <alignment horizontal="center"/>
    </xf>
    <xf numFmtId="6" fontId="13" fillId="7" borderId="11" xfId="0" applyNumberFormat="1" applyFont="1" applyFill="1" applyBorder="1" applyAlignment="1">
      <alignment horizontal="center"/>
    </xf>
    <xf numFmtId="6" fontId="13" fillId="7" borderId="12" xfId="0" applyNumberFormat="1" applyFont="1" applyFill="1" applyBorder="1" applyAlignment="1">
      <alignment horizontal="center"/>
    </xf>
    <xf numFmtId="3" fontId="13" fillId="7" borderId="3" xfId="0" applyNumberFormat="1" applyFont="1" applyFill="1" applyBorder="1" applyAlignment="1">
      <alignment horizontal="center"/>
    </xf>
    <xf numFmtId="3" fontId="13" fillId="7" borderId="11" xfId="0" applyNumberFormat="1" applyFont="1" applyFill="1" applyBorder="1" applyAlignment="1">
      <alignment horizontal="center"/>
    </xf>
    <xf numFmtId="3" fontId="13" fillId="7" borderId="12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right"/>
    </xf>
    <xf numFmtId="3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16" fontId="8" fillId="2" borderId="3" xfId="0" applyNumberFormat="1" applyFont="1" applyFill="1" applyBorder="1" applyAlignment="1">
      <alignment horizontal="center" wrapText="1"/>
    </xf>
    <xf numFmtId="16" fontId="8" fillId="2" borderId="12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2" xfId="2" xr:uid="{3EFDA1A9-CDEB-4AC3-9307-D1CF97F10754}"/>
  </cellStyles>
  <dxfs count="0"/>
  <tableStyles count="0" defaultTableStyle="TableStyleMedium2" defaultPivotStyle="PivotStyleLight16"/>
  <colors>
    <mruColors>
      <color rgb="FFFE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144780</xdr:colOff>
      <xdr:row>0</xdr:row>
      <xdr:rowOff>232411</xdr:rowOff>
    </xdr:from>
    <xdr:to>
      <xdr:col>8</xdr:col>
      <xdr:colOff>81915</xdr:colOff>
      <xdr:row>4</xdr:row>
      <xdr:rowOff>95076</xdr:rowOff>
    </xdr:to>
    <xdr:pic>
      <xdr:nvPicPr>
        <xdr:cNvPr id="2" name="Picture 1" descr="CrossingsTVblueVertical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15244"/>
        <a:stretch/>
      </xdr:blipFill>
      <xdr:spPr>
        <a:xfrm>
          <a:off x="4930140" y="232411"/>
          <a:ext cx="1042035" cy="839930"/>
        </a:xfrm>
        <a:prstGeom prst="rect">
          <a:avLst/>
        </a:prstGeom>
        <a:effectLst>
          <a:outerShdw blurRad="50800" dist="50800" dir="2400000" algn="tl" rotWithShape="0">
            <a:schemeClr val="tx1">
              <a:lumMod val="85000"/>
              <a:lumOff val="15000"/>
              <a:alpha val="40000"/>
            </a:schemeClr>
          </a:outerShdw>
        </a:effectLst>
      </xdr:spPr>
    </xdr:pic>
    <xdr:clientData/>
  </xdr:twoCellAnchor>
  <xdr:twoCellAnchor editAs="oneCell">
    <xdr:from>
      <xdr:col>9</xdr:col>
      <xdr:colOff>139065</xdr:colOff>
      <xdr:row>1</xdr:row>
      <xdr:rowOff>80010</xdr:rowOff>
    </xdr:from>
    <xdr:to>
      <xdr:col>11</xdr:col>
      <xdr:colOff>224582</xdr:colOff>
      <xdr:row>3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8445" y="346710"/>
          <a:ext cx="1243757" cy="58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0"/>
  <sheetViews>
    <sheetView tabSelected="1" topLeftCell="A25" zoomScaleNormal="100" workbookViewId="0">
      <selection activeCell="U41" sqref="U41"/>
    </sheetView>
  </sheetViews>
  <sheetFormatPr defaultRowHeight="15" customHeight="1" x14ac:dyDescent="0.3"/>
  <cols>
    <col min="1" max="1" width="6.44140625" customWidth="1"/>
    <col min="2" max="3" width="11.44140625" customWidth="1"/>
    <col min="4" max="4" width="19.109375" customWidth="1"/>
    <col min="5" max="6" width="10.6640625" customWidth="1"/>
    <col min="7" max="7" width="8.44140625" customWidth="1"/>
    <col min="8" max="8" width="7.6640625" customWidth="1"/>
    <col min="9" max="11" width="8.44140625" customWidth="1"/>
    <col min="12" max="12" width="5.109375" customWidth="1"/>
    <col min="13" max="20" width="8.44140625" customWidth="1"/>
    <col min="21" max="21" width="7" customWidth="1"/>
  </cols>
  <sheetData>
    <row r="1" spans="2:18" s="1" customFormat="1" ht="21" x14ac:dyDescent="0.4">
      <c r="D1" s="38" t="s">
        <v>50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2:18" s="1" customFormat="1" ht="14.4" x14ac:dyDescent="0.3"/>
    <row r="3" spans="2:18" s="1" customFormat="1" ht="20.25" customHeight="1" x14ac:dyDescent="0.4">
      <c r="B3" s="3"/>
      <c r="C3" s="3"/>
      <c r="D3" s="3"/>
      <c r="E3" s="3"/>
      <c r="F3" s="3"/>
      <c r="G3" s="3"/>
      <c r="H3" s="3"/>
      <c r="I3" s="3"/>
      <c r="J3" s="2"/>
    </row>
    <row r="4" spans="2:18" s="1" customFormat="1" ht="21" x14ac:dyDescent="0.4">
      <c r="I4" s="2" t="s">
        <v>0</v>
      </c>
    </row>
    <row r="5" spans="2:18" s="1" customFormat="1" ht="23.4" x14ac:dyDescent="0.45">
      <c r="B5" s="5" t="s">
        <v>1</v>
      </c>
      <c r="C5" s="5" t="s">
        <v>2</v>
      </c>
      <c r="D5" s="4"/>
      <c r="F5" s="4"/>
      <c r="G5" s="4"/>
      <c r="J5" s="4"/>
    </row>
    <row r="6" spans="2:18" s="1" customFormat="1" ht="14.4" x14ac:dyDescent="0.3">
      <c r="B6" s="5" t="s">
        <v>3</v>
      </c>
      <c r="C6" s="5" t="s">
        <v>4</v>
      </c>
    </row>
    <row r="7" spans="2:18" s="1" customFormat="1" ht="14.4" x14ac:dyDescent="0.3">
      <c r="B7" s="5" t="s">
        <v>5</v>
      </c>
      <c r="C7" s="5" t="s">
        <v>6</v>
      </c>
      <c r="F7" s="62" t="s">
        <v>7</v>
      </c>
      <c r="G7" s="62"/>
      <c r="H7" s="47" t="s">
        <v>8</v>
      </c>
      <c r="I7" s="47"/>
      <c r="J7" s="48" t="s">
        <v>9</v>
      </c>
      <c r="K7" s="49"/>
      <c r="L7" s="50"/>
      <c r="M7" s="47" t="s">
        <v>10</v>
      </c>
      <c r="N7" s="47"/>
      <c r="O7" s="47" t="s">
        <v>11</v>
      </c>
      <c r="P7" s="47"/>
      <c r="Q7" s="47" t="s">
        <v>12</v>
      </c>
      <c r="R7" s="47"/>
    </row>
    <row r="8" spans="2:18" s="1" customFormat="1" ht="14.4" x14ac:dyDescent="0.3">
      <c r="B8" s="70" t="s">
        <v>13</v>
      </c>
      <c r="C8" s="70"/>
      <c r="D8" s="34" t="s">
        <v>14</v>
      </c>
      <c r="E8" s="35" t="s">
        <v>15</v>
      </c>
      <c r="F8" s="30">
        <v>46300</v>
      </c>
      <c r="G8" s="30">
        <v>46314</v>
      </c>
      <c r="H8" s="30">
        <v>46335</v>
      </c>
      <c r="I8" s="30">
        <v>46349</v>
      </c>
      <c r="J8" s="30">
        <v>46363</v>
      </c>
      <c r="K8" s="71">
        <v>46377</v>
      </c>
      <c r="L8" s="72"/>
      <c r="M8" s="30">
        <v>46033</v>
      </c>
      <c r="N8" s="30">
        <v>46047</v>
      </c>
      <c r="O8" s="30">
        <v>46061</v>
      </c>
      <c r="P8" s="30">
        <v>46075</v>
      </c>
      <c r="Q8" s="30">
        <v>46089</v>
      </c>
      <c r="R8" s="30">
        <v>46103</v>
      </c>
    </row>
    <row r="9" spans="2:18" s="1" customFormat="1" ht="14.4" x14ac:dyDescent="0.3">
      <c r="B9" s="66" t="s">
        <v>16</v>
      </c>
      <c r="C9" s="66"/>
      <c r="D9" s="6" t="s">
        <v>17</v>
      </c>
      <c r="E9" s="10">
        <v>50</v>
      </c>
      <c r="F9" s="6">
        <v>3</v>
      </c>
      <c r="G9" s="6">
        <v>3</v>
      </c>
      <c r="H9" s="6">
        <v>3</v>
      </c>
      <c r="I9" s="6">
        <v>3</v>
      </c>
      <c r="J9" s="6">
        <v>3</v>
      </c>
      <c r="K9" s="81">
        <v>3</v>
      </c>
      <c r="L9" s="82"/>
      <c r="M9" s="6">
        <v>3</v>
      </c>
      <c r="N9" s="6">
        <v>3</v>
      </c>
      <c r="O9" s="6">
        <v>3</v>
      </c>
      <c r="P9" s="6">
        <v>3</v>
      </c>
      <c r="Q9" s="6">
        <v>3</v>
      </c>
      <c r="R9" s="6">
        <v>3</v>
      </c>
    </row>
    <row r="10" spans="2:18" s="1" customFormat="1" ht="14.4" x14ac:dyDescent="0.3">
      <c r="B10" s="66" t="s">
        <v>18</v>
      </c>
      <c r="C10" s="66"/>
      <c r="D10" s="6" t="s">
        <v>19</v>
      </c>
      <c r="E10" s="10">
        <v>50</v>
      </c>
      <c r="F10" s="6">
        <v>2</v>
      </c>
      <c r="G10" s="6">
        <v>2</v>
      </c>
      <c r="H10" s="6">
        <v>2</v>
      </c>
      <c r="I10" s="6">
        <v>2</v>
      </c>
      <c r="J10" s="6">
        <v>2</v>
      </c>
      <c r="K10" s="81">
        <v>2</v>
      </c>
      <c r="L10" s="82"/>
      <c r="M10" s="6">
        <v>2</v>
      </c>
      <c r="N10" s="6">
        <v>2</v>
      </c>
      <c r="O10" s="6">
        <v>2</v>
      </c>
      <c r="P10" s="6">
        <v>2</v>
      </c>
      <c r="Q10" s="6">
        <v>2</v>
      </c>
      <c r="R10" s="6">
        <v>2</v>
      </c>
    </row>
    <row r="11" spans="2:18" s="1" customFormat="1" ht="14.4" x14ac:dyDescent="0.3">
      <c r="B11" s="66" t="s">
        <v>20</v>
      </c>
      <c r="C11" s="66"/>
      <c r="D11" s="6" t="s">
        <v>21</v>
      </c>
      <c r="E11" s="10">
        <v>50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81">
        <v>1</v>
      </c>
      <c r="L11" s="82"/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</row>
    <row r="12" spans="2:18" s="1" customFormat="1" ht="14.4" x14ac:dyDescent="0.3">
      <c r="B12" s="63" t="s">
        <v>22</v>
      </c>
      <c r="C12" s="63"/>
      <c r="D12" s="7" t="s">
        <v>23</v>
      </c>
      <c r="E12" s="11">
        <v>40</v>
      </c>
      <c r="F12" s="7">
        <v>2</v>
      </c>
      <c r="G12" s="7">
        <v>2</v>
      </c>
      <c r="H12" s="7">
        <v>2</v>
      </c>
      <c r="I12" s="7">
        <v>2</v>
      </c>
      <c r="J12" s="7">
        <v>2</v>
      </c>
      <c r="K12" s="79">
        <v>2</v>
      </c>
      <c r="L12" s="80"/>
      <c r="M12" s="7">
        <v>2</v>
      </c>
      <c r="N12" s="7">
        <v>2</v>
      </c>
      <c r="O12" s="7">
        <v>2</v>
      </c>
      <c r="P12" s="7">
        <v>2</v>
      </c>
      <c r="Q12" s="7">
        <v>2</v>
      </c>
      <c r="R12" s="7">
        <v>2</v>
      </c>
    </row>
    <row r="13" spans="2:18" s="1" customFormat="1" ht="14.4" x14ac:dyDescent="0.3">
      <c r="B13" s="63" t="s">
        <v>24</v>
      </c>
      <c r="C13" s="63"/>
      <c r="D13" s="7" t="s">
        <v>25</v>
      </c>
      <c r="E13" s="11">
        <v>40</v>
      </c>
      <c r="F13" s="7">
        <v>3</v>
      </c>
      <c r="G13" s="7">
        <v>3</v>
      </c>
      <c r="H13" s="7">
        <v>3</v>
      </c>
      <c r="I13" s="7">
        <v>3</v>
      </c>
      <c r="J13" s="7">
        <v>3</v>
      </c>
      <c r="K13" s="79">
        <v>3</v>
      </c>
      <c r="L13" s="80"/>
      <c r="M13" s="7">
        <v>3</v>
      </c>
      <c r="N13" s="7">
        <v>3</v>
      </c>
      <c r="O13" s="7">
        <v>3</v>
      </c>
      <c r="P13" s="7">
        <v>3</v>
      </c>
      <c r="Q13" s="7">
        <v>3</v>
      </c>
      <c r="R13" s="7">
        <v>3</v>
      </c>
    </row>
    <row r="14" spans="2:18" s="1" customFormat="1" ht="14.4" x14ac:dyDescent="0.3">
      <c r="B14" s="64" t="s">
        <v>26</v>
      </c>
      <c r="C14" s="64"/>
      <c r="D14" s="31" t="s">
        <v>27</v>
      </c>
      <c r="E14" s="12">
        <v>50</v>
      </c>
      <c r="F14" s="31">
        <v>3</v>
      </c>
      <c r="G14" s="31">
        <v>3</v>
      </c>
      <c r="H14" s="31">
        <v>3</v>
      </c>
      <c r="I14" s="31">
        <v>3</v>
      </c>
      <c r="J14" s="31">
        <v>3</v>
      </c>
      <c r="K14" s="77">
        <v>3</v>
      </c>
      <c r="L14" s="78"/>
      <c r="M14" s="13">
        <v>3</v>
      </c>
      <c r="N14" s="31">
        <v>3</v>
      </c>
      <c r="O14" s="31">
        <v>3</v>
      </c>
      <c r="P14" s="31">
        <v>3</v>
      </c>
      <c r="Q14" s="31">
        <v>3</v>
      </c>
      <c r="R14" s="31">
        <v>3</v>
      </c>
    </row>
    <row r="15" spans="2:18" s="1" customFormat="1" ht="13.95" customHeight="1" x14ac:dyDescent="0.3">
      <c r="B15" s="65" t="s">
        <v>28</v>
      </c>
      <c r="C15" s="65"/>
      <c r="D15" s="28" t="s">
        <v>29</v>
      </c>
      <c r="E15" s="29">
        <v>0</v>
      </c>
      <c r="F15" s="28">
        <v>5</v>
      </c>
      <c r="G15" s="28">
        <v>5</v>
      </c>
      <c r="H15" s="28">
        <v>5</v>
      </c>
      <c r="I15" s="28">
        <v>5</v>
      </c>
      <c r="J15" s="28">
        <v>5</v>
      </c>
      <c r="K15" s="75">
        <v>5</v>
      </c>
      <c r="L15" s="76"/>
      <c r="M15" s="28">
        <v>5</v>
      </c>
      <c r="N15" s="28">
        <v>5</v>
      </c>
      <c r="O15" s="28">
        <v>5</v>
      </c>
      <c r="P15" s="28">
        <v>5</v>
      </c>
      <c r="Q15" s="28">
        <v>5</v>
      </c>
      <c r="R15" s="28">
        <v>5</v>
      </c>
    </row>
    <row r="16" spans="2:18" s="1" customFormat="1" ht="14.4" x14ac:dyDescent="0.3">
      <c r="B16" s="65" t="s">
        <v>30</v>
      </c>
      <c r="C16" s="65"/>
      <c r="D16" s="28" t="s">
        <v>51</v>
      </c>
      <c r="E16" s="29">
        <v>0</v>
      </c>
      <c r="F16" s="28">
        <v>5</v>
      </c>
      <c r="G16" s="28">
        <v>5</v>
      </c>
      <c r="H16" s="28">
        <v>5</v>
      </c>
      <c r="I16" s="28">
        <v>5</v>
      </c>
      <c r="J16" s="28">
        <v>5</v>
      </c>
      <c r="K16" s="75">
        <v>5</v>
      </c>
      <c r="L16" s="76"/>
      <c r="M16" s="28">
        <v>5</v>
      </c>
      <c r="N16" s="28">
        <v>5</v>
      </c>
      <c r="O16" s="28">
        <v>5</v>
      </c>
      <c r="P16" s="28">
        <v>5</v>
      </c>
      <c r="Q16" s="28">
        <v>5</v>
      </c>
      <c r="R16" s="28">
        <v>5</v>
      </c>
    </row>
    <row r="17" spans="2:20" s="1" customFormat="1" ht="14.4" x14ac:dyDescent="0.3">
      <c r="B17" s="65" t="s">
        <v>31</v>
      </c>
      <c r="C17" s="65"/>
      <c r="D17" s="28" t="s">
        <v>52</v>
      </c>
      <c r="E17" s="29">
        <v>0</v>
      </c>
      <c r="F17" s="28">
        <v>4</v>
      </c>
      <c r="G17" s="28">
        <v>4</v>
      </c>
      <c r="H17" s="28">
        <v>4</v>
      </c>
      <c r="I17" s="28">
        <v>4</v>
      </c>
      <c r="J17" s="28">
        <v>4</v>
      </c>
      <c r="K17" s="75">
        <v>4</v>
      </c>
      <c r="L17" s="76"/>
      <c r="M17" s="28">
        <v>4</v>
      </c>
      <c r="N17" s="28">
        <v>4</v>
      </c>
      <c r="O17" s="28">
        <v>4</v>
      </c>
      <c r="P17" s="28">
        <v>4</v>
      </c>
      <c r="Q17" s="28">
        <v>4</v>
      </c>
      <c r="R17" s="28">
        <v>4</v>
      </c>
    </row>
    <row r="18" spans="2:20" s="1" customFormat="1" ht="14.4" x14ac:dyDescent="0.3">
      <c r="D18" s="68" t="s">
        <v>32</v>
      </c>
      <c r="E18" s="68"/>
      <c r="F18" s="32">
        <f t="shared" ref="F18:R18" si="0">SUM(F9:F14)</f>
        <v>14</v>
      </c>
      <c r="G18" s="32">
        <f t="shared" si="0"/>
        <v>14</v>
      </c>
      <c r="H18" s="32">
        <f t="shared" si="0"/>
        <v>14</v>
      </c>
      <c r="I18" s="32">
        <f t="shared" si="0"/>
        <v>14</v>
      </c>
      <c r="J18" s="32">
        <f t="shared" si="0"/>
        <v>14</v>
      </c>
      <c r="K18" s="73">
        <f t="shared" si="0"/>
        <v>14</v>
      </c>
      <c r="L18" s="74"/>
      <c r="M18" s="32">
        <f t="shared" si="0"/>
        <v>14</v>
      </c>
      <c r="N18" s="32">
        <f t="shared" si="0"/>
        <v>14</v>
      </c>
      <c r="O18" s="32">
        <f t="shared" si="0"/>
        <v>14</v>
      </c>
      <c r="P18" s="32">
        <f t="shared" si="0"/>
        <v>14</v>
      </c>
      <c r="Q18" s="32">
        <f t="shared" si="0"/>
        <v>14</v>
      </c>
      <c r="R18" s="32">
        <f t="shared" si="0"/>
        <v>14</v>
      </c>
    </row>
    <row r="19" spans="2:20" s="1" customFormat="1" ht="14.4" x14ac:dyDescent="0.3">
      <c r="D19" s="68" t="s">
        <v>33</v>
      </c>
      <c r="E19" s="68"/>
      <c r="F19" s="32">
        <f t="shared" ref="F19:R19" si="1">SUM(F15:F17)</f>
        <v>14</v>
      </c>
      <c r="G19" s="32">
        <f t="shared" si="1"/>
        <v>14</v>
      </c>
      <c r="H19" s="32">
        <f t="shared" si="1"/>
        <v>14</v>
      </c>
      <c r="I19" s="32">
        <f t="shared" si="1"/>
        <v>14</v>
      </c>
      <c r="J19" s="32">
        <f t="shared" si="1"/>
        <v>14</v>
      </c>
      <c r="K19" s="73">
        <f t="shared" si="1"/>
        <v>14</v>
      </c>
      <c r="L19" s="74"/>
      <c r="M19" s="32">
        <f t="shared" si="1"/>
        <v>14</v>
      </c>
      <c r="N19" s="32">
        <f t="shared" si="1"/>
        <v>14</v>
      </c>
      <c r="O19" s="32">
        <f t="shared" si="1"/>
        <v>14</v>
      </c>
      <c r="P19" s="32">
        <f t="shared" si="1"/>
        <v>14</v>
      </c>
      <c r="Q19" s="32">
        <f t="shared" si="1"/>
        <v>14</v>
      </c>
      <c r="R19" s="32">
        <f t="shared" si="1"/>
        <v>14</v>
      </c>
    </row>
    <row r="20" spans="2:20" s="1" customFormat="1" ht="14.4" x14ac:dyDescent="0.3">
      <c r="C20" s="37"/>
      <c r="D20" s="60" t="s">
        <v>34</v>
      </c>
      <c r="E20" s="60"/>
      <c r="F20" s="45">
        <f>SUM(F18:G19)</f>
        <v>56</v>
      </c>
      <c r="G20" s="45"/>
      <c r="H20" s="45">
        <f>SUM(H18:I19)</f>
        <v>56</v>
      </c>
      <c r="I20" s="45"/>
      <c r="J20" s="51">
        <f>SUM(J19:L19)</f>
        <v>28</v>
      </c>
      <c r="K20" s="52"/>
      <c r="L20" s="53"/>
      <c r="M20" s="45">
        <f>SUM(M18:N19)</f>
        <v>56</v>
      </c>
      <c r="N20" s="45"/>
      <c r="O20" s="45">
        <f>SUM(O18:P19)</f>
        <v>56</v>
      </c>
      <c r="P20" s="45"/>
      <c r="Q20" s="45">
        <f>SUM(Q18:R19)</f>
        <v>56</v>
      </c>
      <c r="R20" s="45"/>
    </row>
    <row r="21" spans="2:20" s="1" customFormat="1" ht="14.4" x14ac:dyDescent="0.3">
      <c r="C21" s="37"/>
      <c r="D21" s="60" t="s">
        <v>35</v>
      </c>
      <c r="E21" s="60"/>
      <c r="F21" s="43">
        <v>1300</v>
      </c>
      <c r="G21" s="43"/>
      <c r="H21" s="43">
        <v>1300</v>
      </c>
      <c r="I21" s="43"/>
      <c r="J21" s="54">
        <v>1300</v>
      </c>
      <c r="K21" s="55"/>
      <c r="L21" s="56"/>
      <c r="M21" s="43">
        <v>1300</v>
      </c>
      <c r="N21" s="43"/>
      <c r="O21" s="43">
        <v>1300</v>
      </c>
      <c r="P21" s="43"/>
      <c r="Q21" s="43">
        <v>1300</v>
      </c>
      <c r="R21" s="43"/>
    </row>
    <row r="22" spans="2:20" s="1" customFormat="1" ht="14.4" x14ac:dyDescent="0.3">
      <c r="C22" s="37"/>
      <c r="D22" s="45" t="s">
        <v>36</v>
      </c>
      <c r="E22" s="45"/>
      <c r="F22" s="44">
        <v>612451</v>
      </c>
      <c r="G22" s="44"/>
      <c r="H22" s="44">
        <v>612451</v>
      </c>
      <c r="I22" s="44"/>
      <c r="J22" s="57">
        <v>612451</v>
      </c>
      <c r="K22" s="58"/>
      <c r="L22" s="59"/>
      <c r="M22" s="44">
        <v>612451</v>
      </c>
      <c r="N22" s="44"/>
      <c r="O22" s="44">
        <v>612451</v>
      </c>
      <c r="P22" s="44"/>
      <c r="Q22" s="44">
        <v>612451</v>
      </c>
      <c r="R22" s="44"/>
    </row>
    <row r="23" spans="2:20" s="1" customFormat="1" ht="14.4" x14ac:dyDescent="0.3"/>
    <row r="24" spans="2:20" s="1" customFormat="1" ht="14.4" x14ac:dyDescent="0.3"/>
    <row r="25" spans="2:20" s="1" customFormat="1" ht="14.4" x14ac:dyDescent="0.3"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2:20" s="1" customFormat="1" ht="14.4" x14ac:dyDescent="0.3">
      <c r="D26" s="8"/>
      <c r="E26" s="8"/>
      <c r="F26" s="46" t="s">
        <v>37</v>
      </c>
      <c r="G26" s="46"/>
      <c r="H26" s="61" t="s">
        <v>38</v>
      </c>
      <c r="I26" s="61"/>
      <c r="J26" s="46" t="s">
        <v>39</v>
      </c>
      <c r="K26" s="46"/>
      <c r="L26" s="46" t="s">
        <v>40</v>
      </c>
      <c r="M26" s="46"/>
      <c r="N26" s="46" t="s">
        <v>41</v>
      </c>
      <c r="O26" s="46"/>
      <c r="P26" s="46" t="s">
        <v>42</v>
      </c>
      <c r="Q26" s="46"/>
    </row>
    <row r="27" spans="2:20" s="1" customFormat="1" ht="15.6" x14ac:dyDescent="0.3">
      <c r="B27" s="67" t="s">
        <v>13</v>
      </c>
      <c r="C27" s="67"/>
      <c r="D27" s="33" t="s">
        <v>14</v>
      </c>
      <c r="E27" s="36" t="s">
        <v>15</v>
      </c>
      <c r="F27" s="30">
        <v>46117</v>
      </c>
      <c r="G27" s="30">
        <v>46131</v>
      </c>
      <c r="H27" s="30">
        <v>46152</v>
      </c>
      <c r="I27" s="30">
        <v>46166</v>
      </c>
      <c r="J27" s="30">
        <v>46180</v>
      </c>
      <c r="K27" s="30">
        <v>46194</v>
      </c>
      <c r="L27" s="30">
        <v>46208</v>
      </c>
      <c r="M27" s="30">
        <v>46222</v>
      </c>
      <c r="N27" s="30">
        <v>46243</v>
      </c>
      <c r="O27" s="30">
        <v>46257</v>
      </c>
      <c r="P27" s="30">
        <v>46271</v>
      </c>
      <c r="Q27" s="30">
        <v>46285</v>
      </c>
    </row>
    <row r="28" spans="2:20" s="1" customFormat="1" ht="14.4" x14ac:dyDescent="0.3">
      <c r="B28" s="66" t="s">
        <v>16</v>
      </c>
      <c r="C28" s="66"/>
      <c r="D28" s="6" t="s">
        <v>17</v>
      </c>
      <c r="E28" s="10">
        <v>50</v>
      </c>
      <c r="F28" s="6">
        <v>3</v>
      </c>
      <c r="G28" s="6">
        <v>3</v>
      </c>
      <c r="H28" s="6">
        <v>3</v>
      </c>
      <c r="I28" s="6">
        <v>3</v>
      </c>
      <c r="J28" s="6">
        <v>3</v>
      </c>
      <c r="K28" s="6">
        <v>3</v>
      </c>
      <c r="L28" s="6">
        <v>3</v>
      </c>
      <c r="M28" s="6">
        <v>3</v>
      </c>
      <c r="N28" s="6">
        <v>3</v>
      </c>
      <c r="O28" s="6">
        <v>3</v>
      </c>
      <c r="P28" s="6">
        <v>3</v>
      </c>
      <c r="Q28" s="6">
        <v>3</v>
      </c>
    </row>
    <row r="29" spans="2:20" s="1" customFormat="1" ht="14.4" x14ac:dyDescent="0.3">
      <c r="B29" s="66" t="s">
        <v>18</v>
      </c>
      <c r="C29" s="66"/>
      <c r="D29" s="6" t="s">
        <v>19</v>
      </c>
      <c r="E29" s="10">
        <v>50</v>
      </c>
      <c r="F29" s="6">
        <v>2</v>
      </c>
      <c r="G29" s="6">
        <v>2</v>
      </c>
      <c r="H29" s="6">
        <v>2</v>
      </c>
      <c r="I29" s="6">
        <v>2</v>
      </c>
      <c r="J29" s="6">
        <v>2</v>
      </c>
      <c r="K29" s="6">
        <v>2</v>
      </c>
      <c r="L29" s="6">
        <v>2</v>
      </c>
      <c r="M29" s="6">
        <v>2</v>
      </c>
      <c r="N29" s="6">
        <v>2</v>
      </c>
      <c r="O29" s="6">
        <v>2</v>
      </c>
      <c r="P29" s="6">
        <v>2</v>
      </c>
      <c r="Q29" s="6">
        <v>2</v>
      </c>
    </row>
    <row r="30" spans="2:20" s="1" customFormat="1" ht="14.4" x14ac:dyDescent="0.3">
      <c r="B30" s="66" t="s">
        <v>20</v>
      </c>
      <c r="C30" s="66"/>
      <c r="D30" s="6" t="s">
        <v>21</v>
      </c>
      <c r="E30" s="10">
        <v>50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</row>
    <row r="31" spans="2:20" s="1" customFormat="1" ht="14.4" x14ac:dyDescent="0.3">
      <c r="B31" s="63" t="s">
        <v>22</v>
      </c>
      <c r="C31" s="63"/>
      <c r="D31" s="7" t="s">
        <v>23</v>
      </c>
      <c r="E31" s="11">
        <v>40</v>
      </c>
      <c r="F31" s="7">
        <v>2</v>
      </c>
      <c r="G31" s="7">
        <v>2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>
        <v>2</v>
      </c>
      <c r="N31" s="7">
        <v>2</v>
      </c>
      <c r="O31" s="7">
        <v>2</v>
      </c>
      <c r="P31" s="7">
        <v>2</v>
      </c>
      <c r="Q31" s="7">
        <v>2</v>
      </c>
    </row>
    <row r="32" spans="2:20" s="1" customFormat="1" ht="14.4" x14ac:dyDescent="0.3">
      <c r="B32" s="63" t="s">
        <v>24</v>
      </c>
      <c r="C32" s="63"/>
      <c r="D32" s="7" t="s">
        <v>25</v>
      </c>
      <c r="E32" s="11">
        <v>40</v>
      </c>
      <c r="F32" s="7">
        <v>3</v>
      </c>
      <c r="G32" s="7">
        <v>3</v>
      </c>
      <c r="H32" s="7">
        <v>3</v>
      </c>
      <c r="I32" s="7">
        <v>3</v>
      </c>
      <c r="J32" s="7">
        <v>3</v>
      </c>
      <c r="K32" s="7">
        <v>3</v>
      </c>
      <c r="L32" s="7">
        <v>3</v>
      </c>
      <c r="M32" s="7">
        <v>3</v>
      </c>
      <c r="N32" s="7">
        <v>3</v>
      </c>
      <c r="O32" s="7">
        <v>3</v>
      </c>
      <c r="P32" s="7">
        <v>3</v>
      </c>
      <c r="Q32" s="7">
        <v>3</v>
      </c>
    </row>
    <row r="33" spans="2:20" s="1" customFormat="1" ht="14.4" x14ac:dyDescent="0.3">
      <c r="B33" s="64" t="s">
        <v>26</v>
      </c>
      <c r="C33" s="64"/>
      <c r="D33" s="31" t="s">
        <v>27</v>
      </c>
      <c r="E33" s="12">
        <v>50</v>
      </c>
      <c r="F33" s="31">
        <v>3</v>
      </c>
      <c r="G33" s="31">
        <v>3</v>
      </c>
      <c r="H33" s="31">
        <v>3</v>
      </c>
      <c r="I33" s="31">
        <v>3</v>
      </c>
      <c r="J33" s="31">
        <v>3</v>
      </c>
      <c r="K33" s="31">
        <v>3</v>
      </c>
      <c r="L33" s="13">
        <v>3</v>
      </c>
      <c r="M33" s="13">
        <v>3</v>
      </c>
      <c r="N33" s="13">
        <v>3</v>
      </c>
      <c r="O33" s="13">
        <v>3</v>
      </c>
      <c r="P33" s="13">
        <v>3</v>
      </c>
      <c r="Q33" s="13">
        <v>3</v>
      </c>
    </row>
    <row r="34" spans="2:20" s="1" customFormat="1" ht="14.4" x14ac:dyDescent="0.3">
      <c r="B34" s="65" t="s">
        <v>28</v>
      </c>
      <c r="C34" s="65"/>
      <c r="D34" s="28" t="s">
        <v>29</v>
      </c>
      <c r="E34" s="29">
        <v>0</v>
      </c>
      <c r="F34" s="28">
        <v>5</v>
      </c>
      <c r="G34" s="28">
        <v>5</v>
      </c>
      <c r="H34" s="28">
        <v>5</v>
      </c>
      <c r="I34" s="28">
        <v>5</v>
      </c>
      <c r="J34" s="28">
        <v>5</v>
      </c>
      <c r="K34" s="28">
        <v>5</v>
      </c>
      <c r="L34" s="28">
        <v>5</v>
      </c>
      <c r="M34" s="28">
        <v>5</v>
      </c>
      <c r="N34" s="28">
        <v>5</v>
      </c>
      <c r="O34" s="28">
        <v>5</v>
      </c>
      <c r="P34" s="28">
        <v>5</v>
      </c>
      <c r="Q34" s="28">
        <v>5</v>
      </c>
    </row>
    <row r="35" spans="2:20" s="1" customFormat="1" ht="14.4" x14ac:dyDescent="0.3">
      <c r="B35" s="65" t="s">
        <v>30</v>
      </c>
      <c r="C35" s="65"/>
      <c r="D35" s="28" t="s">
        <v>51</v>
      </c>
      <c r="E35" s="29">
        <v>0</v>
      </c>
      <c r="F35" s="28">
        <v>5</v>
      </c>
      <c r="G35" s="28">
        <v>5</v>
      </c>
      <c r="H35" s="28">
        <v>5</v>
      </c>
      <c r="I35" s="28">
        <v>5</v>
      </c>
      <c r="J35" s="28">
        <v>5</v>
      </c>
      <c r="K35" s="28">
        <v>5</v>
      </c>
      <c r="L35" s="28">
        <v>5</v>
      </c>
      <c r="M35" s="28">
        <v>5</v>
      </c>
      <c r="N35" s="28">
        <v>5</v>
      </c>
      <c r="O35" s="28">
        <v>5</v>
      </c>
      <c r="P35" s="28">
        <v>5</v>
      </c>
      <c r="Q35" s="28">
        <v>5</v>
      </c>
    </row>
    <row r="36" spans="2:20" s="1" customFormat="1" ht="14.4" x14ac:dyDescent="0.3">
      <c r="B36" s="65" t="s">
        <v>31</v>
      </c>
      <c r="C36" s="65"/>
      <c r="D36" s="28" t="s">
        <v>52</v>
      </c>
      <c r="E36" s="29">
        <v>0</v>
      </c>
      <c r="F36" s="28">
        <v>4</v>
      </c>
      <c r="G36" s="28">
        <v>4</v>
      </c>
      <c r="H36" s="28">
        <v>4</v>
      </c>
      <c r="I36" s="28">
        <v>4</v>
      </c>
      <c r="J36" s="28">
        <v>4</v>
      </c>
      <c r="K36" s="28">
        <v>4</v>
      </c>
      <c r="L36" s="28">
        <v>4</v>
      </c>
      <c r="M36" s="28">
        <v>4</v>
      </c>
      <c r="N36" s="28">
        <v>4</v>
      </c>
      <c r="O36" s="28">
        <v>4</v>
      </c>
      <c r="P36" s="28">
        <v>4</v>
      </c>
      <c r="Q36" s="28">
        <v>4</v>
      </c>
    </row>
    <row r="37" spans="2:20" s="1" customFormat="1" ht="14.4" x14ac:dyDescent="0.3">
      <c r="D37" s="68" t="s">
        <v>32</v>
      </c>
      <c r="E37" s="69"/>
      <c r="F37" s="32">
        <f t="shared" ref="F37:Q37" si="2">SUM(F28:F33)</f>
        <v>14</v>
      </c>
      <c r="G37" s="32">
        <f t="shared" si="2"/>
        <v>14</v>
      </c>
      <c r="H37" s="32">
        <f t="shared" si="2"/>
        <v>14</v>
      </c>
      <c r="I37" s="32">
        <f t="shared" si="2"/>
        <v>14</v>
      </c>
      <c r="J37" s="32">
        <f t="shared" si="2"/>
        <v>14</v>
      </c>
      <c r="K37" s="32">
        <f t="shared" si="2"/>
        <v>14</v>
      </c>
      <c r="L37" s="32">
        <f t="shared" si="2"/>
        <v>14</v>
      </c>
      <c r="M37" s="32">
        <f t="shared" si="2"/>
        <v>14</v>
      </c>
      <c r="N37" s="32">
        <f t="shared" si="2"/>
        <v>14</v>
      </c>
      <c r="O37" s="32">
        <f t="shared" si="2"/>
        <v>14</v>
      </c>
      <c r="P37" s="32">
        <f t="shared" si="2"/>
        <v>14</v>
      </c>
      <c r="Q37" s="32">
        <f t="shared" si="2"/>
        <v>14</v>
      </c>
    </row>
    <row r="38" spans="2:20" s="1" customFormat="1" ht="14.4" x14ac:dyDescent="0.3">
      <c r="D38" s="68" t="s">
        <v>33</v>
      </c>
      <c r="E38" s="69"/>
      <c r="F38" s="32">
        <f t="shared" ref="F38:Q38" si="3">SUM(F34:F36)</f>
        <v>14</v>
      </c>
      <c r="G38" s="32">
        <f t="shared" si="3"/>
        <v>14</v>
      </c>
      <c r="H38" s="32">
        <f t="shared" si="3"/>
        <v>14</v>
      </c>
      <c r="I38" s="32">
        <f t="shared" si="3"/>
        <v>14</v>
      </c>
      <c r="J38" s="32">
        <f t="shared" si="3"/>
        <v>14</v>
      </c>
      <c r="K38" s="32">
        <f t="shared" si="3"/>
        <v>14</v>
      </c>
      <c r="L38" s="32">
        <f t="shared" si="3"/>
        <v>14</v>
      </c>
      <c r="M38" s="32">
        <f t="shared" si="3"/>
        <v>14</v>
      </c>
      <c r="N38" s="32">
        <f t="shared" si="3"/>
        <v>14</v>
      </c>
      <c r="O38" s="32">
        <f t="shared" si="3"/>
        <v>14</v>
      </c>
      <c r="P38" s="32">
        <f t="shared" si="3"/>
        <v>14</v>
      </c>
      <c r="Q38" s="32">
        <f t="shared" si="3"/>
        <v>14</v>
      </c>
    </row>
    <row r="39" spans="2:20" s="1" customFormat="1" ht="14.4" x14ac:dyDescent="0.3">
      <c r="D39" s="60" t="s">
        <v>34</v>
      </c>
      <c r="E39" s="60"/>
      <c r="F39" s="45">
        <f>SUM(F37:G38)</f>
        <v>56</v>
      </c>
      <c r="G39" s="45"/>
      <c r="H39" s="45">
        <f t="shared" ref="H39" si="4">SUM(H37:I38)</f>
        <v>56</v>
      </c>
      <c r="I39" s="45"/>
      <c r="J39" s="45">
        <f t="shared" ref="J39" si="5">SUM(J37:K38)</f>
        <v>56</v>
      </c>
      <c r="K39" s="45"/>
      <c r="L39" s="45">
        <f t="shared" ref="L39" si="6">SUM(L37:M38)</f>
        <v>56</v>
      </c>
      <c r="M39" s="45"/>
      <c r="N39" s="45">
        <f t="shared" ref="N39" si="7">SUM(N37:O38)</f>
        <v>56</v>
      </c>
      <c r="O39" s="45"/>
      <c r="P39" s="45">
        <f t="shared" ref="P39" si="8">SUM(P37:Q38)</f>
        <v>56</v>
      </c>
      <c r="Q39" s="45"/>
    </row>
    <row r="40" spans="2:20" s="1" customFormat="1" ht="14.4" x14ac:dyDescent="0.3">
      <c r="D40" s="60" t="s">
        <v>35</v>
      </c>
      <c r="E40" s="60"/>
      <c r="F40" s="43">
        <v>1300</v>
      </c>
      <c r="G40" s="43"/>
      <c r="H40" s="43">
        <v>1300</v>
      </c>
      <c r="I40" s="43"/>
      <c r="J40" s="43">
        <v>1300</v>
      </c>
      <c r="K40" s="43"/>
      <c r="L40" s="43">
        <v>1300</v>
      </c>
      <c r="M40" s="43"/>
      <c r="N40" s="43">
        <v>1300</v>
      </c>
      <c r="O40" s="43"/>
      <c r="P40" s="43">
        <v>1300</v>
      </c>
      <c r="Q40" s="43"/>
    </row>
    <row r="41" spans="2:20" s="1" customFormat="1" ht="14.4" x14ac:dyDescent="0.3">
      <c r="D41" s="60" t="s">
        <v>36</v>
      </c>
      <c r="E41" s="60"/>
      <c r="F41" s="44">
        <v>612451</v>
      </c>
      <c r="G41" s="44"/>
      <c r="H41" s="44">
        <v>612451</v>
      </c>
      <c r="I41" s="44"/>
      <c r="J41" s="44">
        <v>612451</v>
      </c>
      <c r="K41" s="44"/>
      <c r="L41" s="44">
        <v>612451</v>
      </c>
      <c r="M41" s="44"/>
      <c r="N41" s="44">
        <v>612451</v>
      </c>
      <c r="O41" s="44"/>
      <c r="P41" s="44">
        <v>612451</v>
      </c>
      <c r="Q41" s="44"/>
    </row>
    <row r="42" spans="2:20" s="1" customFormat="1" ht="14.4" x14ac:dyDescent="0.3"/>
    <row r="43" spans="2:20" s="1" customFormat="1" ht="18" x14ac:dyDescent="0.35">
      <c r="B43" s="14" t="s">
        <v>43</v>
      </c>
      <c r="C43" s="15"/>
      <c r="D43" s="16"/>
      <c r="E43" s="16"/>
      <c r="F43" s="16"/>
      <c r="G43" s="17"/>
      <c r="T43" s="18"/>
    </row>
    <row r="44" spans="2:20" s="1" customFormat="1" ht="18" x14ac:dyDescent="0.35">
      <c r="B44" s="40" t="s">
        <v>44</v>
      </c>
      <c r="C44" s="41"/>
      <c r="D44" s="41"/>
      <c r="E44" s="41"/>
      <c r="F44" s="41"/>
      <c r="G44" s="42"/>
      <c r="H44" s="18"/>
      <c r="I44" s="18"/>
      <c r="J44" s="18"/>
      <c r="K44" s="18"/>
      <c r="L44" s="18"/>
      <c r="M44" s="18"/>
      <c r="N44" s="18"/>
      <c r="O44" s="18"/>
    </row>
    <row r="45" spans="2:20" s="1" customFormat="1" ht="18" x14ac:dyDescent="0.35">
      <c r="B45" s="19" t="s">
        <v>45</v>
      </c>
      <c r="D45" s="20"/>
      <c r="E45" s="20"/>
      <c r="F45" s="20"/>
      <c r="G45" s="21"/>
      <c r="K45" s="18"/>
      <c r="L45" s="18"/>
      <c r="M45" s="18"/>
      <c r="N45" s="18"/>
      <c r="O45" s="18"/>
      <c r="P45" s="18"/>
      <c r="Q45" s="18"/>
      <c r="R45" s="18"/>
      <c r="S45" s="18"/>
    </row>
    <row r="46" spans="2:20" s="1" customFormat="1" ht="14.4" x14ac:dyDescent="0.3">
      <c r="B46" s="22" t="s">
        <v>46</v>
      </c>
      <c r="C46" s="23" t="s">
        <v>47</v>
      </c>
      <c r="D46" s="23"/>
      <c r="G46" s="21"/>
    </row>
    <row r="47" spans="2:20" s="1" customFormat="1" ht="14.4" x14ac:dyDescent="0.3">
      <c r="B47" s="24" t="s">
        <v>48</v>
      </c>
      <c r="C47" s="25">
        <v>0</v>
      </c>
      <c r="D47" s="26"/>
      <c r="E47" s="26"/>
      <c r="F47" s="26"/>
      <c r="G47" s="27"/>
    </row>
    <row r="48" spans="2:20" s="1" customFormat="1" ht="14.4" x14ac:dyDescent="0.3">
      <c r="B48" s="20"/>
      <c r="C48" s="23"/>
    </row>
    <row r="49" spans="7:17" s="1" customFormat="1" ht="14.4" x14ac:dyDescent="0.3">
      <c r="G49" s="39" t="s">
        <v>49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7:17" s="1" customFormat="1" ht="14.4" x14ac:dyDescent="0.3"/>
  </sheetData>
  <mergeCells count="93">
    <mergeCell ref="K13:L13"/>
    <mergeCell ref="K12:L12"/>
    <mergeCell ref="K11:L11"/>
    <mergeCell ref="K10:L10"/>
    <mergeCell ref="K9:L9"/>
    <mergeCell ref="K18:L18"/>
    <mergeCell ref="K17:L17"/>
    <mergeCell ref="K16:L16"/>
    <mergeCell ref="K15:L15"/>
    <mergeCell ref="K14:L14"/>
    <mergeCell ref="L40:M40"/>
    <mergeCell ref="L41:M41"/>
    <mergeCell ref="N41:O41"/>
    <mergeCell ref="N40:O40"/>
    <mergeCell ref="J40:K40"/>
    <mergeCell ref="J41:K41"/>
    <mergeCell ref="B8:C8"/>
    <mergeCell ref="B9:C9"/>
    <mergeCell ref="B10:C10"/>
    <mergeCell ref="B11:C11"/>
    <mergeCell ref="F20:G20"/>
    <mergeCell ref="B12:C12"/>
    <mergeCell ref="B13:C13"/>
    <mergeCell ref="B14:C14"/>
    <mergeCell ref="B15:C15"/>
    <mergeCell ref="B16:C16"/>
    <mergeCell ref="B17:C17"/>
    <mergeCell ref="D18:E18"/>
    <mergeCell ref="D19:E19"/>
    <mergeCell ref="D40:E40"/>
    <mergeCell ref="D20:E20"/>
    <mergeCell ref="B32:C32"/>
    <mergeCell ref="B33:C33"/>
    <mergeCell ref="B34:C34"/>
    <mergeCell ref="D21:E21"/>
    <mergeCell ref="D22:E22"/>
    <mergeCell ref="B29:C29"/>
    <mergeCell ref="B30:C30"/>
    <mergeCell ref="B31:C31"/>
    <mergeCell ref="B27:C27"/>
    <mergeCell ref="B28:C28"/>
    <mergeCell ref="B35:C35"/>
    <mergeCell ref="B36:C36"/>
    <mergeCell ref="D37:E37"/>
    <mergeCell ref="D38:E38"/>
    <mergeCell ref="D41:E41"/>
    <mergeCell ref="D39:E39"/>
    <mergeCell ref="Q7:R7"/>
    <mergeCell ref="F40:G40"/>
    <mergeCell ref="F41:G41"/>
    <mergeCell ref="H40:I40"/>
    <mergeCell ref="H41:I41"/>
    <mergeCell ref="F39:G39"/>
    <mergeCell ref="H39:I39"/>
    <mergeCell ref="F26:G26"/>
    <mergeCell ref="H26:I26"/>
    <mergeCell ref="F7:G7"/>
    <mergeCell ref="F21:G21"/>
    <mergeCell ref="F22:G22"/>
    <mergeCell ref="N39:O39"/>
    <mergeCell ref="P39:Q39"/>
    <mergeCell ref="H21:I21"/>
    <mergeCell ref="H22:I22"/>
    <mergeCell ref="H7:I7"/>
    <mergeCell ref="M7:N7"/>
    <mergeCell ref="O7:P7"/>
    <mergeCell ref="J7:L7"/>
    <mergeCell ref="J20:L20"/>
    <mergeCell ref="J21:L21"/>
    <mergeCell ref="J22:L22"/>
    <mergeCell ref="M21:N21"/>
    <mergeCell ref="M22:N22"/>
    <mergeCell ref="O20:P20"/>
    <mergeCell ref="O21:P21"/>
    <mergeCell ref="O22:P22"/>
    <mergeCell ref="K8:L8"/>
    <mergeCell ref="K19:L19"/>
    <mergeCell ref="D1:R1"/>
    <mergeCell ref="G49:Q49"/>
    <mergeCell ref="B44:G44"/>
    <mergeCell ref="P40:Q40"/>
    <mergeCell ref="P41:Q41"/>
    <mergeCell ref="J39:K39"/>
    <mergeCell ref="L39:M39"/>
    <mergeCell ref="Q20:R20"/>
    <mergeCell ref="Q21:R21"/>
    <mergeCell ref="Q22:R22"/>
    <mergeCell ref="P26:Q26"/>
    <mergeCell ref="J26:K26"/>
    <mergeCell ref="L26:M26"/>
    <mergeCell ref="M20:N20"/>
    <mergeCell ref="N26:O26"/>
    <mergeCell ref="H20:I20"/>
  </mergeCells>
  <phoneticPr fontId="1" type="noConversion"/>
  <pageMargins left="0.7" right="0.7" top="0.75" bottom="0.75" header="0.3" footer="0.3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Charmaine Lane</dc:creator>
  <cp:keywords/>
  <dc:description/>
  <cp:lastModifiedBy>Charmaine Lane</cp:lastModifiedBy>
  <cp:revision/>
  <cp:lastPrinted>2025-08-11T02:02:44Z</cp:lastPrinted>
  <dcterms:created xsi:type="dcterms:W3CDTF">2016-07-05T17:56:30Z</dcterms:created>
  <dcterms:modified xsi:type="dcterms:W3CDTF">2026-09-23T17:06:31Z</dcterms:modified>
  <cp:category/>
  <cp:contentStatus/>
</cp:coreProperties>
</file>