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ssingstv0-my.sharepoint.com/personal/charmaine_lane_crossingstv_com/Documents/"/>
    </mc:Choice>
  </mc:AlternateContent>
  <xr:revisionPtr revIDLastSave="171" documentId="8_{79E349FB-913F-468D-A653-486725687A34}" xr6:coauthVersionLast="47" xr6:coauthVersionMax="47" xr10:uidLastSave="{B4373200-4764-4F1E-81BB-03290E9BC76D}"/>
  <bookViews>
    <workbookView xWindow="-108" yWindow="-108" windowWidth="23256" windowHeight="12456" xr2:uid="{2B2AA11A-4AA6-480E-BD06-65C6CC076FBC}"/>
  </bookViews>
  <sheets>
    <sheet name="OPTION 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3" l="1"/>
  <c r="I25" i="3"/>
  <c r="K21" i="3"/>
  <c r="K19" i="3"/>
  <c r="F15" i="3"/>
  <c r="K15" i="3" s="1"/>
  <c r="F16" i="3"/>
  <c r="K16" i="3" s="1"/>
  <c r="F17" i="3"/>
  <c r="K17" i="3" s="1"/>
  <c r="K18" i="3"/>
  <c r="K20" i="3"/>
  <c r="K22" i="3"/>
  <c r="K23" i="3"/>
  <c r="L16" i="3"/>
  <c r="J24" i="3"/>
  <c r="I24" i="3"/>
  <c r="L18" i="3"/>
  <c r="L17" i="3"/>
  <c r="G15" i="3" l="1"/>
  <c r="L15" i="3" s="1"/>
  <c r="L24" i="3" s="1"/>
  <c r="K24" i="3"/>
  <c r="K26" i="3" l="1"/>
</calcChain>
</file>

<file path=xl/sharedStrings.xml><?xml version="1.0" encoding="utf-8"?>
<sst xmlns="http://schemas.openxmlformats.org/spreadsheetml/2006/main" count="76" uniqueCount="62">
  <si>
    <t>Day Part/
Program</t>
  </si>
  <si>
    <t>Language Block</t>
  </si>
  <si>
    <t xml:space="preserve">Address: </t>
  </si>
  <si>
    <t>Phone:</t>
  </si>
  <si>
    <t>Email:</t>
  </si>
  <si>
    <t xml:space="preserve">Contact: </t>
  </si>
  <si>
    <t>AE Email</t>
  </si>
  <si>
    <t>Crossings TV Media Proposal</t>
  </si>
  <si>
    <t>Charmaine.Lane@crossingstv.com</t>
  </si>
  <si>
    <t>Flight schedule</t>
  </si>
  <si>
    <t>BONUS</t>
  </si>
  <si>
    <t>Total Paid</t>
  </si>
  <si>
    <t>Total Bonuses</t>
  </si>
  <si>
    <t>Length</t>
  </si>
  <si>
    <t>:30s</t>
  </si>
  <si>
    <t>Client</t>
  </si>
  <si>
    <t>M-F 11a-12p</t>
  </si>
  <si>
    <t>Total Value</t>
  </si>
  <si>
    <t>Total Spots</t>
  </si>
  <si>
    <t>VIETNAMESE</t>
  </si>
  <si>
    <t>ROS (BONUS)</t>
  </si>
  <si>
    <t>Vietnamese News/Variety</t>
  </si>
  <si>
    <t>Market</t>
  </si>
  <si>
    <t>Thank you and looking forward to our partnership.</t>
  </si>
  <si>
    <t>Promo</t>
  </si>
  <si>
    <t>Harrah's Northen California</t>
  </si>
  <si>
    <t>Date</t>
  </si>
  <si>
    <t>Central Valley of California</t>
  </si>
  <si>
    <t>Forest Chen</t>
  </si>
  <si>
    <t>Monthly</t>
  </si>
  <si>
    <t>Net</t>
  </si>
  <si>
    <t>NET</t>
  </si>
  <si>
    <t>Cantonese News/Talk &amp; Mandarin  News</t>
  </si>
  <si>
    <t>Hmong</t>
  </si>
  <si>
    <t>Sat-Sun 6p-8p</t>
  </si>
  <si>
    <t>Discount rate</t>
  </si>
  <si>
    <t xml:space="preserve">  Xfinity TV 398 (Central Valley of California) and KBTV 8.2(Sacramento)</t>
  </si>
  <si>
    <t>Forest Chen宣榕 &lt;xchen@harrahs.com&gt;</t>
  </si>
  <si>
    <t xml:space="preserve">O 209-790-4976 | M 350-221-6682  </t>
  </si>
  <si>
    <t>4640 Coal Mine Rd | Ione, CA 95640</t>
  </si>
  <si>
    <t xml:space="preserve">Central Valley </t>
  </si>
  <si>
    <t>*Voiceover Translation is at additional cost ( $600 Net per :30seconds/ per language/per voiceover)</t>
  </si>
  <si>
    <t>M-F 7p-9p</t>
  </si>
  <si>
    <t>OPTION 1</t>
  </si>
  <si>
    <t>Mandarin Entertainment</t>
  </si>
  <si>
    <t>Sat-Sun 9p-12a</t>
  </si>
  <si>
    <t>M-F 6p-7p</t>
  </si>
  <si>
    <t>Filipino News &amp; Talk</t>
  </si>
  <si>
    <t xml:space="preserve"> 6 months contract:</t>
  </si>
  <si>
    <t>Monthly Estimate</t>
  </si>
  <si>
    <t>APPROVED BY:</t>
  </si>
  <si>
    <t>Client Signature</t>
  </si>
  <si>
    <t>BILLING ADDRESS:</t>
  </si>
  <si>
    <t>FILIPINO</t>
  </si>
  <si>
    <t>*Hmong Ad Placement  bonus</t>
  </si>
  <si>
    <t>* :5seconds  or  :10seconds promo donut  TEXT   ($100  net per language/per donut)</t>
  </si>
  <si>
    <t>* :5 or :10seconds seconds promo donut Voiceover ($300 net per language/per donut)</t>
  </si>
  <si>
    <t>Optional:</t>
  </si>
  <si>
    <t>Cantonese ROS Bonus</t>
  </si>
  <si>
    <t>Mandarin  ROS Bonus</t>
  </si>
  <si>
    <t>Mandarin</t>
  </si>
  <si>
    <t xml:space="preserve">Cantonese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</si>
</sst>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ptos Narrow"/>
      <family val="2"/>
    </font>
    <font>
      <b/>
      <sz val="18"/>
      <color theme="1"/>
      <name val="Aptos Narrow"/>
      <family val="2"/>
    </font>
    <font>
      <b/>
      <sz val="14"/>
      <color theme="1"/>
      <name val="Aptos Narrow"/>
      <family val="2"/>
    </font>
    <font>
      <sz val="16"/>
      <color theme="1"/>
      <name val="Aptos Narrow"/>
      <family val="2"/>
    </font>
    <font>
      <i/>
      <sz val="16"/>
      <color theme="0" tint="-0.499984740745262"/>
      <name val="Aptos Narrow"/>
      <family val="2"/>
    </font>
    <font>
      <b/>
      <sz val="16"/>
      <color theme="1"/>
      <name val="Aptos Narrow"/>
      <family val="2"/>
    </font>
    <font>
      <i/>
      <sz val="16"/>
      <color theme="1"/>
      <name val="Aptos Narrow"/>
      <family val="2"/>
    </font>
    <font>
      <b/>
      <sz val="16"/>
      <color rgb="FFFF0000"/>
      <name val="Aptos Narrow"/>
      <family val="2"/>
    </font>
    <font>
      <sz val="16"/>
      <color rgb="FFFF0000"/>
      <name val="Aptos Narrow"/>
      <family val="2"/>
    </font>
    <font>
      <sz val="18"/>
      <color theme="1"/>
      <name val="Aptos Narrow"/>
      <family val="2"/>
    </font>
    <font>
      <sz val="22"/>
      <color theme="1"/>
      <name val="Aptos Narrow"/>
      <family val="2"/>
    </font>
    <font>
      <u/>
      <sz val="18"/>
      <color theme="10"/>
      <name val="Aptos Narrow"/>
      <family val="2"/>
    </font>
    <font>
      <u/>
      <sz val="18"/>
      <name val="Aptos Narrow"/>
      <family val="2"/>
    </font>
    <font>
      <b/>
      <i/>
      <sz val="18"/>
      <color theme="1"/>
      <name val="Aptos Narrow"/>
      <family val="2"/>
    </font>
    <font>
      <i/>
      <sz val="18"/>
      <color theme="0" tint="-0.499984740745262"/>
      <name val="Aptos Narrow"/>
      <family val="2"/>
    </font>
    <font>
      <b/>
      <sz val="22"/>
      <color theme="1"/>
      <name val="Aptos Narrow"/>
      <family val="2"/>
    </font>
    <font>
      <b/>
      <sz val="28"/>
      <color theme="1"/>
      <name val="Aptos Narrow"/>
      <family val="2"/>
    </font>
    <font>
      <b/>
      <sz val="16"/>
      <color theme="0"/>
      <name val="Aptos Narrow"/>
      <family val="2"/>
    </font>
    <font>
      <b/>
      <sz val="16"/>
      <color theme="2"/>
      <name val="Aptos Narrow"/>
      <family val="2"/>
    </font>
    <font>
      <b/>
      <i/>
      <sz val="22"/>
      <color rgb="FFFF0000"/>
      <name val="Aptos Narrow"/>
      <family val="2"/>
    </font>
    <font>
      <i/>
      <sz val="22"/>
      <color theme="1"/>
      <name val="Aptos Narrow"/>
      <family val="2"/>
    </font>
    <font>
      <sz val="14"/>
      <color theme="1"/>
      <name val="Aptos Narrow"/>
    </font>
    <font>
      <i/>
      <sz val="16"/>
      <color theme="1"/>
      <name val="Aptos Narrow"/>
    </font>
    <font>
      <sz val="16"/>
      <color theme="1"/>
      <name val="Aptos Narrow"/>
    </font>
    <font>
      <i/>
      <sz val="16"/>
      <color theme="0" tint="-0.499984740745262"/>
      <name val="Aptos Narrow"/>
    </font>
    <font>
      <b/>
      <sz val="16"/>
      <color theme="1"/>
      <name val="Aptos Narrow"/>
    </font>
    <font>
      <sz val="24"/>
      <color theme="1"/>
      <name val="Aptos Narrow"/>
      <family val="2"/>
    </font>
    <font>
      <b/>
      <i/>
      <sz val="16"/>
      <color rgb="FFFF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DADB5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right" vertical="top" wrapText="1"/>
    </xf>
    <xf numFmtId="44" fontId="5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6" fillId="4" borderId="3" xfId="0" applyFont="1" applyFill="1" applyBorder="1" applyAlignment="1">
      <alignment horizontal="center" wrapText="1"/>
    </xf>
    <xf numFmtId="44" fontId="6" fillId="4" borderId="3" xfId="1" applyFont="1" applyFill="1" applyBorder="1" applyAlignment="1">
      <alignment horizontal="center" wrapText="1"/>
    </xf>
    <xf numFmtId="14" fontId="6" fillId="4" borderId="3" xfId="0" applyNumberFormat="1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/>
    </xf>
    <xf numFmtId="44" fontId="7" fillId="4" borderId="3" xfId="1" applyFont="1" applyFill="1" applyBorder="1" applyAlignment="1">
      <alignment horizontal="center" wrapText="1"/>
    </xf>
    <xf numFmtId="44" fontId="8" fillId="4" borderId="3" xfId="1" applyFont="1" applyFill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44" fontId="9" fillId="0" borderId="3" xfId="1" applyFont="1" applyBorder="1" applyAlignment="1">
      <alignment horizontal="center" wrapText="1"/>
    </xf>
    <xf numFmtId="14" fontId="6" fillId="0" borderId="3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44" fontId="7" fillId="0" borderId="3" xfId="1" applyFont="1" applyFill="1" applyBorder="1" applyAlignment="1">
      <alignment horizontal="center" wrapText="1"/>
    </xf>
    <xf numFmtId="44" fontId="8" fillId="0" borderId="3" xfId="1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4" fontId="5" fillId="0" borderId="0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4" fontId="3" fillId="0" borderId="0" xfId="1" applyFont="1" applyBorder="1" applyAlignment="1">
      <alignment horizontal="center" vertical="center" wrapText="1"/>
    </xf>
    <xf numFmtId="44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2" fillId="2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right" wrapText="1"/>
    </xf>
    <xf numFmtId="44" fontId="10" fillId="0" borderId="0" xfId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wrapText="1"/>
    </xf>
    <xf numFmtId="44" fontId="6" fillId="7" borderId="3" xfId="1" applyFont="1" applyFill="1" applyBorder="1" applyAlignment="1">
      <alignment horizontal="center" wrapText="1"/>
    </xf>
    <xf numFmtId="14" fontId="6" fillId="7" borderId="3" xfId="0" applyNumberFormat="1" applyFont="1" applyFill="1" applyBorder="1" applyAlignment="1">
      <alignment horizontal="center" wrapText="1"/>
    </xf>
    <xf numFmtId="0" fontId="6" fillId="7" borderId="3" xfId="0" applyFont="1" applyFill="1" applyBorder="1" applyAlignment="1">
      <alignment horizontal="center"/>
    </xf>
    <xf numFmtId="44" fontId="7" fillId="7" borderId="3" xfId="1" applyFont="1" applyFill="1" applyBorder="1" applyAlignment="1">
      <alignment horizontal="center" wrapText="1"/>
    </xf>
    <xf numFmtId="44" fontId="8" fillId="7" borderId="3" xfId="1" applyFont="1" applyFill="1" applyBorder="1" applyAlignment="1">
      <alignment horizontal="center" wrapText="1"/>
    </xf>
    <xf numFmtId="9" fontId="4" fillId="6" borderId="0" xfId="3" applyFont="1" applyFill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16" fontId="12" fillId="0" borderId="3" xfId="0" applyNumberFormat="1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0" fontId="17" fillId="0" borderId="3" xfId="0" applyFont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6" fillId="6" borderId="3" xfId="0" applyFont="1" applyFill="1" applyBorder="1" applyAlignment="1">
      <alignment horizontal="center" wrapText="1"/>
    </xf>
    <xf numFmtId="44" fontId="6" fillId="6" borderId="3" xfId="1" applyFont="1" applyFill="1" applyBorder="1" applyAlignment="1">
      <alignment horizontal="center" wrapText="1"/>
    </xf>
    <xf numFmtId="14" fontId="6" fillId="6" borderId="3" xfId="0" applyNumberFormat="1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/>
    </xf>
    <xf numFmtId="44" fontId="7" fillId="6" borderId="3" xfId="1" applyFont="1" applyFill="1" applyBorder="1" applyAlignment="1">
      <alignment horizontal="center" wrapText="1"/>
    </xf>
    <xf numFmtId="44" fontId="8" fillId="6" borderId="3" xfId="1" applyFont="1" applyFill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44" fontId="3" fillId="0" borderId="4" xfId="1" applyFont="1" applyBorder="1" applyAlignment="1">
      <alignment horizontal="center" vertical="center" wrapText="1"/>
    </xf>
    <xf numFmtId="44" fontId="3" fillId="0" borderId="4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4" fillId="0" borderId="0" xfId="0" applyFont="1"/>
    <xf numFmtId="0" fontId="24" fillId="0" borderId="0" xfId="0" applyFont="1"/>
    <xf numFmtId="0" fontId="25" fillId="0" borderId="3" xfId="0" applyFont="1" applyBorder="1" applyAlignment="1">
      <alignment horizontal="center" wrapText="1"/>
    </xf>
    <xf numFmtId="44" fontId="25" fillId="0" borderId="3" xfId="1" applyFont="1" applyBorder="1" applyAlignment="1">
      <alignment horizontal="center" wrapText="1"/>
    </xf>
    <xf numFmtId="14" fontId="26" fillId="0" borderId="3" xfId="0" applyNumberFormat="1" applyFont="1" applyBorder="1" applyAlignment="1">
      <alignment horizontal="center" wrapText="1"/>
    </xf>
    <xf numFmtId="0" fontId="26" fillId="0" borderId="3" xfId="0" applyFont="1" applyBorder="1" applyAlignment="1">
      <alignment horizontal="center"/>
    </xf>
    <xf numFmtId="44" fontId="27" fillId="0" borderId="3" xfId="1" applyFont="1" applyBorder="1" applyAlignment="1">
      <alignment horizontal="center" wrapText="1"/>
    </xf>
    <xf numFmtId="44" fontId="28" fillId="0" borderId="3" xfId="1" applyFont="1" applyBorder="1" applyAlignment="1">
      <alignment horizontal="center" wrapText="1"/>
    </xf>
    <xf numFmtId="0" fontId="20" fillId="5" borderId="3" xfId="0" applyFont="1" applyFill="1" applyBorder="1" applyAlignment="1">
      <alignment horizontal="right"/>
    </xf>
    <xf numFmtId="0" fontId="21" fillId="5" borderId="3" xfId="0" applyFont="1" applyFill="1" applyBorder="1" applyAlignment="1">
      <alignment horizontal="right"/>
    </xf>
    <xf numFmtId="0" fontId="9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0" fontId="22" fillId="0" borderId="0" xfId="0" applyFont="1" applyAlignment="1">
      <alignment horizontal="left"/>
    </xf>
    <xf numFmtId="0" fontId="16" fillId="0" borderId="10" xfId="0" applyFont="1" applyBorder="1" applyAlignment="1">
      <alignment horizontal="right" wrapText="1"/>
    </xf>
    <xf numFmtId="0" fontId="13" fillId="0" borderId="0" xfId="0" applyFont="1" applyAlignment="1">
      <alignment horizontal="left"/>
    </xf>
    <xf numFmtId="0" fontId="12" fillId="3" borderId="7" xfId="0" applyFont="1" applyFill="1" applyBorder="1" applyAlignment="1">
      <alignment horizontal="left" wrapText="1"/>
    </xf>
    <xf numFmtId="0" fontId="12" fillId="3" borderId="8" xfId="0" applyFont="1" applyFill="1" applyBorder="1" applyAlignment="1">
      <alignment horizontal="left" wrapText="1"/>
    </xf>
    <xf numFmtId="0" fontId="12" fillId="3" borderId="6" xfId="0" applyFont="1" applyFill="1" applyBorder="1" applyAlignment="1">
      <alignment horizontal="left" wrapText="1"/>
    </xf>
    <xf numFmtId="0" fontId="12" fillId="3" borderId="9" xfId="0" applyFont="1" applyFill="1" applyBorder="1" applyAlignment="1">
      <alignment horizontal="left" wrapText="1"/>
    </xf>
    <xf numFmtId="14" fontId="12" fillId="0" borderId="7" xfId="0" applyNumberFormat="1" applyFont="1" applyBorder="1" applyAlignment="1">
      <alignment horizontal="left"/>
    </xf>
    <xf numFmtId="14" fontId="12" fillId="0" borderId="10" xfId="0" applyNumberFormat="1" applyFont="1" applyBorder="1" applyAlignment="1">
      <alignment horizontal="left"/>
    </xf>
    <xf numFmtId="14" fontId="12" fillId="0" borderId="8" xfId="0" applyNumberFormat="1" applyFont="1" applyBorder="1" applyAlignment="1">
      <alignment horizontal="left"/>
    </xf>
    <xf numFmtId="14" fontId="12" fillId="0" borderId="6" xfId="0" applyNumberFormat="1" applyFont="1" applyBorder="1" applyAlignment="1">
      <alignment horizontal="left"/>
    </xf>
    <xf numFmtId="14" fontId="12" fillId="0" borderId="4" xfId="0" applyNumberFormat="1" applyFont="1" applyBorder="1" applyAlignment="1">
      <alignment horizontal="left"/>
    </xf>
    <xf numFmtId="14" fontId="12" fillId="0" borderId="9" xfId="0" applyNumberFormat="1" applyFont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0" fillId="0" borderId="2" xfId="0" applyFont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0" fillId="0" borderId="1" xfId="0" applyFont="1" applyBorder="1" applyAlignment="1">
      <alignment horizontal="right" wrapText="1"/>
    </xf>
    <xf numFmtId="44" fontId="10" fillId="0" borderId="3" xfId="1" applyFont="1" applyFill="1" applyBorder="1" applyAlignment="1">
      <alignment horizontal="center" vertical="center" wrapText="1"/>
    </xf>
    <xf numFmtId="44" fontId="5" fillId="0" borderId="0" xfId="1" applyFont="1" applyBorder="1" applyAlignment="1">
      <alignment horizontal="center" wrapText="1"/>
    </xf>
    <xf numFmtId="0" fontId="12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5" fillId="0" borderId="3" xfId="2" applyFont="1" applyBorder="1" applyAlignment="1">
      <alignment horizontal="left" wrapText="1"/>
    </xf>
    <xf numFmtId="0" fontId="12" fillId="2" borderId="3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2" borderId="3" xfId="0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left" vertical="center" wrapText="1"/>
    </xf>
    <xf numFmtId="14" fontId="12" fillId="0" borderId="3" xfId="0" applyNumberFormat="1" applyFont="1" applyBorder="1" applyAlignment="1">
      <alignment horizontal="left" vertical="top"/>
    </xf>
    <xf numFmtId="0" fontId="14" fillId="2" borderId="3" xfId="2" applyFont="1" applyFill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top"/>
    </xf>
    <xf numFmtId="0" fontId="12" fillId="2" borderId="2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22" fillId="0" borderId="0" xfId="0" applyFont="1" applyFill="1" applyAlignment="1">
      <alignment horizontal="left"/>
    </xf>
    <xf numFmtId="0" fontId="22" fillId="0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3" fillId="0" borderId="0" xfId="0" applyFont="1" applyFill="1" applyBorder="1"/>
    <xf numFmtId="0" fontId="22" fillId="3" borderId="0" xfId="0" applyFont="1" applyFill="1" applyAlignment="1">
      <alignment horizontal="left"/>
    </xf>
    <xf numFmtId="0" fontId="26" fillId="0" borderId="1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44" fontId="26" fillId="0" borderId="3" xfId="1" applyFont="1" applyFill="1" applyBorder="1" applyAlignment="1">
      <alignment horizontal="center" wrapText="1"/>
    </xf>
    <xf numFmtId="14" fontId="26" fillId="0" borderId="3" xfId="0" applyNumberFormat="1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/>
    </xf>
    <xf numFmtId="44" fontId="27" fillId="0" borderId="3" xfId="1" applyFont="1" applyFill="1" applyBorder="1" applyAlignment="1">
      <alignment horizontal="center" wrapText="1"/>
    </xf>
    <xf numFmtId="44" fontId="28" fillId="0" borderId="3" xfId="1" applyFont="1" applyFill="1" applyBorder="1" applyAlignment="1">
      <alignment horizontal="center" wrapText="1"/>
    </xf>
    <xf numFmtId="0" fontId="10" fillId="0" borderId="0" xfId="0" applyFont="1" applyFill="1" applyAlignment="1">
      <alignment horizontal="right" wrapText="1"/>
    </xf>
    <xf numFmtId="0" fontId="16" fillId="0" borderId="0" xfId="0" applyFont="1" applyFill="1" applyBorder="1" applyAlignment="1">
      <alignment horizontal="right" wrapText="1"/>
    </xf>
    <xf numFmtId="9" fontId="4" fillId="0" borderId="0" xfId="3" applyFont="1" applyFill="1" applyBorder="1" applyAlignment="1">
      <alignment horizontal="center" wrapText="1"/>
    </xf>
    <xf numFmtId="0" fontId="30" fillId="0" borderId="10" xfId="0" applyFont="1" applyBorder="1" applyAlignment="1">
      <alignment horizontal="left" wrapText="1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DADB5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1026379</xdr:colOff>
      <xdr:row>4</xdr:row>
      <xdr:rowOff>136320</xdr:rowOff>
    </xdr:to>
    <xdr:pic>
      <xdr:nvPicPr>
        <xdr:cNvPr id="2" name="SEA Logo" descr="A blue circle with white text&#10;&#10;Description automatically generated with medium confidence">
          <a:extLst>
            <a:ext uri="{FF2B5EF4-FFF2-40B4-BE49-F238E27FC236}">
              <a16:creationId xmlns:a16="http://schemas.microsoft.com/office/drawing/2014/main" id="{B28F78D1-737A-42E6-8BDB-37EFC475A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8359" cy="1448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0AEF-03CB-4D39-A32A-18F804ACB45E}">
  <sheetPr>
    <pageSetUpPr fitToPage="1"/>
  </sheetPr>
  <dimension ref="A3:S45"/>
  <sheetViews>
    <sheetView tabSelected="1" zoomScale="55" zoomScaleNormal="55" workbookViewId="0">
      <selection activeCell="Q18" sqref="Q18"/>
    </sheetView>
  </sheetViews>
  <sheetFormatPr defaultColWidth="8.77734375" defaultRowHeight="18" x14ac:dyDescent="0.35"/>
  <cols>
    <col min="1" max="1" width="8.77734375" style="1"/>
    <col min="2" max="3" width="16.6640625" style="1" customWidth="1"/>
    <col min="4" max="4" width="24" style="1" customWidth="1"/>
    <col min="5" max="5" width="27.5546875" style="1" customWidth="1"/>
    <col min="6" max="6" width="13.6640625" style="1" customWidth="1"/>
    <col min="7" max="7" width="15.88671875" style="1" customWidth="1"/>
    <col min="8" max="8" width="23" style="1" customWidth="1"/>
    <col min="9" max="9" width="36.6640625" style="1" customWidth="1"/>
    <col min="10" max="10" width="19.5546875" style="1" customWidth="1"/>
    <col min="11" max="11" width="22.88671875" style="1" customWidth="1"/>
    <col min="12" max="12" width="21.33203125" style="1" customWidth="1"/>
    <col min="13" max="13" width="32.109375" style="1" customWidth="1"/>
    <col min="14" max="14" width="27.33203125" style="1" customWidth="1"/>
    <col min="15" max="15" width="20.6640625" style="1" customWidth="1"/>
    <col min="16" max="16" width="12.77734375" style="1" customWidth="1"/>
    <col min="17" max="17" width="30.5546875" style="1" customWidth="1"/>
    <col min="18" max="18" width="16.44140625" style="1" customWidth="1"/>
    <col min="19" max="19" width="24.77734375" style="1" customWidth="1"/>
    <col min="20" max="16384" width="8.77734375" style="1"/>
  </cols>
  <sheetData>
    <row r="3" spans="4:16" ht="36.6" x14ac:dyDescent="0.7">
      <c r="G3" s="108" t="s">
        <v>43</v>
      </c>
      <c r="H3" s="108"/>
      <c r="I3" s="108"/>
      <c r="J3" s="108"/>
    </row>
    <row r="4" spans="4:16" s="4" customFormat="1" ht="28.8" x14ac:dyDescent="0.35">
      <c r="D4" s="2"/>
      <c r="E4" s="109" t="s">
        <v>7</v>
      </c>
      <c r="F4" s="109"/>
      <c r="G4" s="109"/>
      <c r="H4" s="109"/>
      <c r="I4" s="3"/>
      <c r="J4" s="3"/>
      <c r="K4" s="3"/>
      <c r="L4" s="3"/>
      <c r="M4" s="3"/>
      <c r="N4" s="3"/>
      <c r="O4" s="3"/>
      <c r="P4" s="3"/>
    </row>
    <row r="5" spans="4:16" s="2" customFormat="1" ht="30.6" customHeight="1" x14ac:dyDescent="0.45">
      <c r="D5" s="94" t="s">
        <v>22</v>
      </c>
      <c r="E5" s="95"/>
      <c r="F5" s="110" t="s">
        <v>27</v>
      </c>
      <c r="G5" s="110"/>
      <c r="H5" s="110"/>
      <c r="I5" s="110"/>
      <c r="J5" s="31"/>
      <c r="K5" s="32" t="s">
        <v>5</v>
      </c>
      <c r="L5" s="111" t="s">
        <v>28</v>
      </c>
      <c r="M5" s="112"/>
      <c r="N5" s="113"/>
      <c r="O5" s="32"/>
    </row>
    <row r="6" spans="4:16" s="2" customFormat="1" ht="27.6" customHeight="1" x14ac:dyDescent="0.45">
      <c r="D6" s="94" t="s">
        <v>15</v>
      </c>
      <c r="E6" s="95"/>
      <c r="F6" s="106" t="s">
        <v>25</v>
      </c>
      <c r="G6" s="106"/>
      <c r="H6" s="106"/>
      <c r="I6" s="106"/>
      <c r="J6" s="31"/>
      <c r="K6" s="32" t="s">
        <v>4</v>
      </c>
      <c r="L6" s="107" t="s">
        <v>37</v>
      </c>
      <c r="M6" s="107"/>
      <c r="N6" s="107"/>
      <c r="O6" s="107"/>
    </row>
    <row r="7" spans="4:16" s="2" customFormat="1" ht="19.95" customHeight="1" x14ac:dyDescent="0.45">
      <c r="D7" s="94" t="s">
        <v>6</v>
      </c>
      <c r="E7" s="95"/>
      <c r="F7" s="96" t="s">
        <v>8</v>
      </c>
      <c r="G7" s="96"/>
      <c r="H7" s="96"/>
      <c r="I7" s="96"/>
      <c r="J7" s="31"/>
      <c r="K7" s="33" t="s">
        <v>3</v>
      </c>
      <c r="L7" s="97" t="s">
        <v>38</v>
      </c>
      <c r="M7" s="97"/>
      <c r="N7" s="97"/>
      <c r="O7" s="97"/>
    </row>
    <row r="8" spans="4:16" s="2" customFormat="1" ht="19.95" customHeight="1" x14ac:dyDescent="0.45">
      <c r="D8" s="77" t="s">
        <v>9</v>
      </c>
      <c r="E8" s="78"/>
      <c r="F8" s="98" t="s">
        <v>49</v>
      </c>
      <c r="G8" s="99"/>
      <c r="H8" s="99"/>
      <c r="I8" s="100"/>
      <c r="J8" s="31"/>
      <c r="K8" s="104" t="s">
        <v>2</v>
      </c>
      <c r="L8" s="105" t="s">
        <v>39</v>
      </c>
      <c r="M8" s="105"/>
      <c r="N8" s="105"/>
      <c r="O8" s="105"/>
    </row>
    <row r="9" spans="4:16" s="2" customFormat="1" ht="19.95" customHeight="1" x14ac:dyDescent="0.45">
      <c r="D9" s="79"/>
      <c r="E9" s="80"/>
      <c r="F9" s="101"/>
      <c r="G9" s="102"/>
      <c r="H9" s="102"/>
      <c r="I9" s="103"/>
      <c r="J9" s="31"/>
      <c r="K9" s="104"/>
      <c r="L9" s="105"/>
      <c r="M9" s="105"/>
      <c r="N9" s="105"/>
      <c r="O9" s="105"/>
    </row>
    <row r="10" spans="4:16" s="2" customFormat="1" ht="19.95" customHeight="1" x14ac:dyDescent="0.45">
      <c r="D10" s="77" t="s">
        <v>26</v>
      </c>
      <c r="E10" s="78"/>
      <c r="F10" s="81">
        <v>46296</v>
      </c>
      <c r="G10" s="82"/>
      <c r="H10" s="82"/>
      <c r="I10" s="83"/>
      <c r="J10" s="31"/>
      <c r="K10" s="87" t="s">
        <v>22</v>
      </c>
      <c r="L10" s="87" t="s">
        <v>40</v>
      </c>
      <c r="M10" s="87"/>
      <c r="N10" s="87"/>
      <c r="O10" s="87"/>
    </row>
    <row r="11" spans="4:16" s="2" customFormat="1" ht="19.95" customHeight="1" x14ac:dyDescent="0.45">
      <c r="D11" s="79"/>
      <c r="E11" s="80"/>
      <c r="F11" s="84"/>
      <c r="G11" s="85"/>
      <c r="H11" s="85"/>
      <c r="I11" s="86"/>
      <c r="J11" s="31"/>
      <c r="K11" s="87"/>
      <c r="L11" s="87"/>
      <c r="M11" s="87"/>
      <c r="N11" s="87"/>
      <c r="O11" s="87"/>
    </row>
    <row r="12" spans="4:16" s="2" customFormat="1" ht="18" customHeight="1" x14ac:dyDescent="0.35">
      <c r="E12" s="5"/>
      <c r="F12" s="5"/>
      <c r="G12" s="6"/>
      <c r="H12" s="6"/>
      <c r="I12" s="6"/>
      <c r="J12" s="6"/>
      <c r="M12" s="7"/>
      <c r="N12" s="7"/>
      <c r="O12" s="7"/>
      <c r="P12" s="7"/>
    </row>
    <row r="13" spans="4:16" ht="34.200000000000003" customHeight="1" x14ac:dyDescent="0.45">
      <c r="D13" s="88" t="s">
        <v>36</v>
      </c>
      <c r="E13" s="88"/>
      <c r="F13" s="88"/>
      <c r="G13" s="88"/>
      <c r="H13" s="88"/>
      <c r="I13" s="88"/>
      <c r="J13" s="88"/>
      <c r="K13" s="88"/>
      <c r="L13" s="88"/>
      <c r="M13" s="49"/>
      <c r="N13" s="49"/>
      <c r="O13" s="49"/>
      <c r="P13" s="2"/>
    </row>
    <row r="14" spans="4:16" ht="46.8" x14ac:dyDescent="0.45">
      <c r="D14" s="43" t="s">
        <v>1</v>
      </c>
      <c r="E14" s="43" t="s">
        <v>0</v>
      </c>
      <c r="F14" s="43" t="s">
        <v>30</v>
      </c>
      <c r="G14" s="43" t="s">
        <v>24</v>
      </c>
      <c r="H14" s="43" t="s">
        <v>13</v>
      </c>
      <c r="I14" s="44" t="s">
        <v>29</v>
      </c>
      <c r="J14" s="45" t="s">
        <v>18</v>
      </c>
      <c r="K14" s="46" t="s">
        <v>17</v>
      </c>
      <c r="L14" s="47" t="s">
        <v>31</v>
      </c>
    </row>
    <row r="15" spans="4:16" ht="72.599999999999994" customHeight="1" x14ac:dyDescent="0.4">
      <c r="D15" s="36" t="s">
        <v>32</v>
      </c>
      <c r="E15" s="36" t="s">
        <v>42</v>
      </c>
      <c r="F15" s="37">
        <f>60*0.85</f>
        <v>51</v>
      </c>
      <c r="G15" s="37">
        <f>F15-5</f>
        <v>46</v>
      </c>
      <c r="H15" s="38" t="s">
        <v>14</v>
      </c>
      <c r="I15" s="39">
        <v>25</v>
      </c>
      <c r="J15" s="39">
        <v>25</v>
      </c>
      <c r="K15" s="40">
        <f t="shared" ref="K15:K22" si="0">J15*F15</f>
        <v>1275</v>
      </c>
      <c r="L15" s="41">
        <f t="shared" ref="L15:L18" si="1">J15*G15</f>
        <v>1150</v>
      </c>
    </row>
    <row r="16" spans="4:16" ht="49.95" customHeight="1" x14ac:dyDescent="0.4">
      <c r="D16" s="36" t="s">
        <v>44</v>
      </c>
      <c r="E16" s="36" t="s">
        <v>45</v>
      </c>
      <c r="F16" s="37">
        <f>40*0.85</f>
        <v>34</v>
      </c>
      <c r="G16" s="37">
        <v>25</v>
      </c>
      <c r="H16" s="38" t="s">
        <v>14</v>
      </c>
      <c r="I16" s="39">
        <v>6</v>
      </c>
      <c r="J16" s="39">
        <v>6</v>
      </c>
      <c r="K16" s="40">
        <f t="shared" ref="K16" si="2">J16*F16</f>
        <v>204</v>
      </c>
      <c r="L16" s="41">
        <f t="shared" ref="L16" si="3">J16*G16</f>
        <v>150</v>
      </c>
    </row>
    <row r="17" spans="1:19" ht="51" customHeight="1" x14ac:dyDescent="0.4">
      <c r="D17" s="8" t="s">
        <v>21</v>
      </c>
      <c r="E17" s="8" t="s">
        <v>16</v>
      </c>
      <c r="F17" s="9">
        <f>50*0.85</f>
        <v>42.5</v>
      </c>
      <c r="G17" s="9">
        <v>36</v>
      </c>
      <c r="H17" s="10" t="s">
        <v>14</v>
      </c>
      <c r="I17" s="11">
        <v>20</v>
      </c>
      <c r="J17" s="11">
        <v>20</v>
      </c>
      <c r="K17" s="12">
        <f t="shared" si="0"/>
        <v>850</v>
      </c>
      <c r="L17" s="13">
        <f t="shared" si="1"/>
        <v>720</v>
      </c>
    </row>
    <row r="18" spans="1:19" ht="62.4" customHeight="1" x14ac:dyDescent="0.4">
      <c r="D18" s="50" t="s">
        <v>47</v>
      </c>
      <c r="E18" s="50" t="s">
        <v>46</v>
      </c>
      <c r="F18" s="51">
        <v>42.5</v>
      </c>
      <c r="G18" s="51">
        <v>36</v>
      </c>
      <c r="H18" s="52" t="s">
        <v>14</v>
      </c>
      <c r="I18" s="53">
        <v>15</v>
      </c>
      <c r="J18" s="53">
        <v>15</v>
      </c>
      <c r="K18" s="54">
        <f t="shared" si="0"/>
        <v>637.5</v>
      </c>
      <c r="L18" s="55">
        <f t="shared" si="1"/>
        <v>540</v>
      </c>
    </row>
    <row r="19" spans="1:19" ht="62.4" customHeight="1" x14ac:dyDescent="0.4">
      <c r="A19" s="63"/>
      <c r="B19" s="63"/>
      <c r="C19" s="70" t="s">
        <v>10</v>
      </c>
      <c r="D19" s="121" t="s">
        <v>33</v>
      </c>
      <c r="E19" s="122" t="s">
        <v>34</v>
      </c>
      <c r="F19" s="123">
        <v>42.5</v>
      </c>
      <c r="G19" s="123">
        <v>36</v>
      </c>
      <c r="H19" s="124" t="s">
        <v>14</v>
      </c>
      <c r="I19" s="125">
        <v>12</v>
      </c>
      <c r="J19" s="125">
        <v>12</v>
      </c>
      <c r="K19" s="126">
        <f>J19*F19</f>
        <v>510</v>
      </c>
      <c r="L19" s="127">
        <v>0</v>
      </c>
      <c r="M19" s="63"/>
      <c r="N19" s="63"/>
      <c r="O19" s="63"/>
      <c r="P19" s="63"/>
      <c r="Q19" s="63"/>
      <c r="R19" s="63"/>
      <c r="S19" s="63"/>
    </row>
    <row r="20" spans="1:19" ht="62.4" customHeight="1" x14ac:dyDescent="0.4">
      <c r="C20" s="71" t="s">
        <v>10</v>
      </c>
      <c r="D20" s="72" t="s">
        <v>61</v>
      </c>
      <c r="E20" s="14" t="s">
        <v>58</v>
      </c>
      <c r="F20" s="15">
        <v>34</v>
      </c>
      <c r="G20" s="15">
        <v>0</v>
      </c>
      <c r="H20" s="16" t="s">
        <v>14</v>
      </c>
      <c r="I20" s="17">
        <v>10</v>
      </c>
      <c r="J20" s="17">
        <v>10</v>
      </c>
      <c r="K20" s="18">
        <f t="shared" si="0"/>
        <v>340</v>
      </c>
      <c r="L20" s="19">
        <v>0</v>
      </c>
    </row>
    <row r="21" spans="1:19" ht="62.4" customHeight="1" x14ac:dyDescent="0.4">
      <c r="C21" s="71" t="s">
        <v>10</v>
      </c>
      <c r="D21" s="72" t="s">
        <v>60</v>
      </c>
      <c r="E21" s="14" t="s">
        <v>59</v>
      </c>
      <c r="F21" s="15">
        <v>34</v>
      </c>
      <c r="G21" s="15">
        <v>0</v>
      </c>
      <c r="H21" s="16" t="s">
        <v>14</v>
      </c>
      <c r="I21" s="17">
        <v>10</v>
      </c>
      <c r="J21" s="17">
        <v>10</v>
      </c>
      <c r="K21" s="18">
        <f t="shared" ref="K21" si="4">J21*F21</f>
        <v>340</v>
      </c>
      <c r="L21" s="19">
        <v>0</v>
      </c>
    </row>
    <row r="22" spans="1:19" ht="62.4" customHeight="1" x14ac:dyDescent="0.4">
      <c r="C22" s="71" t="s">
        <v>10</v>
      </c>
      <c r="D22" s="72" t="s">
        <v>19</v>
      </c>
      <c r="E22" s="14" t="s">
        <v>20</v>
      </c>
      <c r="F22" s="15">
        <v>34</v>
      </c>
      <c r="G22" s="15">
        <v>0</v>
      </c>
      <c r="H22" s="16" t="s">
        <v>14</v>
      </c>
      <c r="I22" s="17">
        <v>12</v>
      </c>
      <c r="J22" s="17">
        <v>12</v>
      </c>
      <c r="K22" s="18">
        <f t="shared" si="0"/>
        <v>408</v>
      </c>
      <c r="L22" s="19">
        <v>0</v>
      </c>
    </row>
    <row r="23" spans="1:19" ht="62.4" customHeight="1" x14ac:dyDescent="0.4">
      <c r="A23" s="63"/>
      <c r="B23" s="63"/>
      <c r="C23" s="71" t="s">
        <v>10</v>
      </c>
      <c r="D23" s="73" t="s">
        <v>53</v>
      </c>
      <c r="E23" s="64" t="s">
        <v>20</v>
      </c>
      <c r="F23" s="65">
        <v>34</v>
      </c>
      <c r="G23" s="65">
        <v>0</v>
      </c>
      <c r="H23" s="66" t="s">
        <v>14</v>
      </c>
      <c r="I23" s="67">
        <v>8</v>
      </c>
      <c r="J23" s="67">
        <v>8</v>
      </c>
      <c r="K23" s="68">
        <f>J23*F23</f>
        <v>272</v>
      </c>
      <c r="L23" s="69">
        <v>0</v>
      </c>
      <c r="M23" s="63"/>
      <c r="N23" s="63"/>
      <c r="O23" s="63"/>
      <c r="P23" s="63"/>
      <c r="Q23" s="63"/>
      <c r="R23" s="63"/>
      <c r="S23" s="63"/>
    </row>
    <row r="24" spans="1:19" ht="26.4" customHeight="1" x14ac:dyDescent="0.4">
      <c r="D24" s="89" t="s">
        <v>11</v>
      </c>
      <c r="E24" s="90"/>
      <c r="F24" s="90"/>
      <c r="G24" s="90"/>
      <c r="H24" s="91"/>
      <c r="I24" s="20">
        <f>SUM(I15:I18)</f>
        <v>66</v>
      </c>
      <c r="J24" s="20">
        <f>SUM(J15:J18)</f>
        <v>66</v>
      </c>
      <c r="K24" s="92">
        <f>SUM(K15:K23)</f>
        <v>4836.5</v>
      </c>
      <c r="L24" s="92">
        <f>SUM(L15:L18)</f>
        <v>2560</v>
      </c>
    </row>
    <row r="25" spans="1:19" ht="26.4" customHeight="1" x14ac:dyDescent="0.4">
      <c r="D25" s="89" t="s">
        <v>12</v>
      </c>
      <c r="E25" s="90"/>
      <c r="F25" s="90"/>
      <c r="G25" s="90"/>
      <c r="H25" s="91"/>
      <c r="I25" s="20">
        <f>SUM(I19:I23)</f>
        <v>52</v>
      </c>
      <c r="J25" s="20">
        <f>SUM(J19:J23)</f>
        <v>52</v>
      </c>
      <c r="K25" s="92"/>
      <c r="L25" s="92"/>
    </row>
    <row r="26" spans="1:19" ht="43.8" customHeight="1" x14ac:dyDescent="0.45">
      <c r="D26" s="131"/>
      <c r="E26" s="131"/>
      <c r="F26" s="131"/>
      <c r="G26" s="131"/>
      <c r="H26" s="34"/>
      <c r="I26" s="75" t="s">
        <v>35</v>
      </c>
      <c r="J26" s="75"/>
      <c r="K26" s="42">
        <f>(K24-L24)/K24</f>
        <v>0.47069161583789931</v>
      </c>
      <c r="L26" s="35"/>
    </row>
    <row r="27" spans="1:19" s="118" customFormat="1" ht="43.8" customHeight="1" x14ac:dyDescent="0.45">
      <c r="D27" s="128"/>
      <c r="E27" s="128"/>
      <c r="F27" s="128"/>
      <c r="G27" s="128"/>
      <c r="H27" s="128"/>
      <c r="I27" s="129"/>
      <c r="J27" s="129"/>
      <c r="K27" s="130"/>
      <c r="L27" s="35"/>
    </row>
    <row r="28" spans="1:19" ht="36" customHeight="1" x14ac:dyDescent="0.55000000000000004">
      <c r="D28" s="120" t="s">
        <v>48</v>
      </c>
      <c r="E28" s="120"/>
      <c r="F28" s="120"/>
      <c r="G28" s="120"/>
      <c r="H28" s="120"/>
      <c r="I28" s="120"/>
      <c r="J28" s="120"/>
      <c r="K28" s="120"/>
      <c r="L28" s="120"/>
      <c r="M28" s="56"/>
      <c r="N28" s="21"/>
      <c r="O28" s="21"/>
      <c r="P28" s="21"/>
      <c r="Q28" s="21"/>
      <c r="R28" s="22"/>
    </row>
    <row r="29" spans="1:19" ht="36" customHeight="1" x14ac:dyDescent="0.55000000000000004">
      <c r="C29" s="118"/>
      <c r="D29" s="114" t="s">
        <v>54</v>
      </c>
      <c r="E29" s="114"/>
      <c r="F29" s="114"/>
      <c r="G29" s="114"/>
      <c r="H29" s="114"/>
      <c r="I29" s="56"/>
      <c r="J29" s="56"/>
      <c r="K29" s="56"/>
      <c r="L29" s="56"/>
      <c r="M29" s="56"/>
      <c r="N29" s="21"/>
      <c r="O29" s="21"/>
      <c r="P29" s="21"/>
      <c r="Q29" s="21"/>
      <c r="R29" s="22"/>
    </row>
    <row r="30" spans="1:19" ht="36" customHeight="1" x14ac:dyDescent="0.55000000000000004">
      <c r="C30" s="118"/>
      <c r="D30" s="115"/>
      <c r="E30" s="115"/>
      <c r="F30" s="115"/>
      <c r="G30" s="115"/>
      <c r="H30" s="115"/>
      <c r="I30" s="56"/>
      <c r="J30" s="56"/>
      <c r="K30" s="56"/>
      <c r="L30" s="56"/>
      <c r="M30" s="56"/>
      <c r="N30" s="21"/>
      <c r="O30" s="21"/>
      <c r="P30" s="21"/>
      <c r="Q30" s="21"/>
      <c r="R30" s="22"/>
    </row>
    <row r="31" spans="1:19" ht="36" customHeight="1" x14ac:dyDescent="0.6">
      <c r="C31" s="118"/>
      <c r="D31" s="116" t="s">
        <v>57</v>
      </c>
      <c r="E31" s="116"/>
      <c r="F31" s="116"/>
      <c r="G31" s="116"/>
      <c r="H31" s="116"/>
      <c r="I31" s="116"/>
      <c r="J31" s="116"/>
      <c r="K31" s="116"/>
      <c r="L31" s="116"/>
      <c r="M31" s="56"/>
      <c r="N31" s="21"/>
      <c r="O31" s="21"/>
      <c r="P31" s="21"/>
      <c r="Q31" s="21"/>
      <c r="R31" s="22"/>
    </row>
    <row r="32" spans="1:19" ht="36" customHeight="1" x14ac:dyDescent="0.55000000000000004">
      <c r="C32" s="119"/>
      <c r="D32" s="74" t="s">
        <v>41</v>
      </c>
      <c r="E32" s="74"/>
      <c r="F32" s="74"/>
      <c r="G32" s="74"/>
      <c r="H32" s="74"/>
      <c r="I32" s="74"/>
      <c r="J32" s="74"/>
      <c r="K32" s="74"/>
      <c r="L32" s="74"/>
      <c r="M32" s="74"/>
      <c r="N32" s="21"/>
      <c r="O32" s="21"/>
      <c r="P32" s="21"/>
      <c r="Q32" s="21"/>
      <c r="R32" s="22"/>
    </row>
    <row r="33" spans="3:18" ht="36" customHeight="1" x14ac:dyDescent="0.55000000000000004">
      <c r="C33" s="119"/>
      <c r="D33" s="74" t="s">
        <v>55</v>
      </c>
      <c r="E33" s="74"/>
      <c r="F33" s="74"/>
      <c r="G33" s="74"/>
      <c r="H33" s="74"/>
      <c r="I33" s="74"/>
      <c r="J33" s="74"/>
      <c r="K33" s="74"/>
      <c r="L33" s="74"/>
      <c r="M33" s="57"/>
      <c r="N33" s="21"/>
      <c r="O33" s="21"/>
      <c r="P33" s="21"/>
      <c r="Q33" s="21"/>
      <c r="R33" s="22"/>
    </row>
    <row r="34" spans="3:18" ht="36" customHeight="1" x14ac:dyDescent="0.55000000000000004">
      <c r="C34" s="119"/>
      <c r="D34" s="74" t="s">
        <v>56</v>
      </c>
      <c r="E34" s="74"/>
      <c r="F34" s="74"/>
      <c r="G34" s="74"/>
      <c r="H34" s="74"/>
      <c r="I34" s="74"/>
      <c r="J34" s="74"/>
      <c r="K34" s="74"/>
      <c r="L34" s="74"/>
      <c r="M34" s="57"/>
      <c r="N34" s="21"/>
      <c r="O34" s="21"/>
      <c r="P34" s="21"/>
      <c r="Q34" s="21"/>
      <c r="R34" s="22"/>
    </row>
    <row r="35" spans="3:18" s="23" customFormat="1" ht="25.2" customHeight="1" x14ac:dyDescent="0.55000000000000004">
      <c r="C35" s="117"/>
      <c r="D35" s="74"/>
      <c r="E35" s="74"/>
      <c r="F35" s="74"/>
      <c r="G35" s="74"/>
      <c r="H35" s="74"/>
      <c r="I35" s="74"/>
      <c r="J35" s="74"/>
      <c r="K35" s="74"/>
      <c r="L35" s="74"/>
      <c r="M35" s="28"/>
      <c r="N35" s="29"/>
    </row>
    <row r="36" spans="3:18" s="23" customFormat="1" ht="25.2" customHeight="1" x14ac:dyDescent="0.35">
      <c r="C36" s="117"/>
      <c r="E36" s="24"/>
      <c r="F36" s="24"/>
      <c r="G36" s="25"/>
      <c r="H36" s="26"/>
      <c r="I36" s="26"/>
      <c r="J36" s="27"/>
      <c r="K36" s="27"/>
      <c r="L36" s="28"/>
      <c r="M36" s="28"/>
      <c r="N36" s="29"/>
    </row>
    <row r="37" spans="3:18" s="23" customFormat="1" ht="25.2" customHeight="1" x14ac:dyDescent="0.35">
      <c r="E37" s="24"/>
      <c r="F37" s="24"/>
      <c r="G37" s="25"/>
      <c r="H37" s="26"/>
      <c r="I37" s="26"/>
      <c r="J37" s="27"/>
      <c r="K37" s="27"/>
      <c r="L37" s="28"/>
      <c r="M37" s="28"/>
      <c r="N37" s="29"/>
    </row>
    <row r="38" spans="3:18" s="23" customFormat="1" ht="25.2" customHeight="1" x14ac:dyDescent="0.45">
      <c r="D38" s="62" t="s">
        <v>50</v>
      </c>
      <c r="E38" s="58"/>
      <c r="F38" s="58"/>
      <c r="G38" s="59"/>
      <c r="H38" s="60"/>
      <c r="I38" s="60"/>
      <c r="J38" s="61"/>
      <c r="K38" s="61"/>
      <c r="L38" s="28"/>
      <c r="M38" s="28"/>
      <c r="N38" s="29"/>
    </row>
    <row r="39" spans="3:18" s="23" customFormat="1" ht="25.2" customHeight="1" x14ac:dyDescent="0.35">
      <c r="E39" s="24"/>
      <c r="F39" s="93" t="s">
        <v>51</v>
      </c>
      <c r="G39" s="93"/>
      <c r="H39" s="93"/>
      <c r="I39" s="26"/>
      <c r="J39" s="27"/>
      <c r="K39" s="27"/>
      <c r="L39" s="28"/>
      <c r="M39" s="28"/>
      <c r="N39" s="29"/>
    </row>
    <row r="40" spans="3:18" s="23" customFormat="1" ht="25.2" customHeight="1" x14ac:dyDescent="0.35">
      <c r="E40" s="24"/>
      <c r="F40" s="24"/>
      <c r="G40" s="25"/>
      <c r="H40" s="26"/>
      <c r="I40" s="26"/>
      <c r="J40" s="27"/>
      <c r="K40" s="27"/>
      <c r="L40" s="28"/>
      <c r="M40" s="28"/>
      <c r="N40" s="29"/>
    </row>
    <row r="41" spans="3:18" s="23" customFormat="1" ht="25.2" customHeight="1" x14ac:dyDescent="0.45">
      <c r="D41" s="62" t="s">
        <v>52</v>
      </c>
      <c r="E41" s="58"/>
      <c r="F41" s="58"/>
      <c r="G41" s="59"/>
      <c r="H41" s="60"/>
      <c r="I41" s="60"/>
      <c r="J41" s="61"/>
      <c r="K41" s="61"/>
      <c r="L41" s="28"/>
      <c r="M41" s="28"/>
      <c r="N41" s="29"/>
    </row>
    <row r="42" spans="3:18" s="23" customFormat="1" ht="25.2" customHeight="1" x14ac:dyDescent="0.35">
      <c r="E42" s="24"/>
      <c r="F42" s="24"/>
      <c r="G42" s="25"/>
      <c r="H42" s="26"/>
      <c r="I42" s="26"/>
      <c r="J42" s="27"/>
      <c r="K42" s="27"/>
      <c r="L42" s="28"/>
      <c r="M42" s="28"/>
      <c r="N42" s="29"/>
    </row>
    <row r="43" spans="3:18" s="23" customFormat="1" ht="25.2" customHeight="1" x14ac:dyDescent="0.35">
      <c r="E43" s="24"/>
      <c r="F43" s="24"/>
      <c r="G43" s="25"/>
      <c r="H43" s="26"/>
      <c r="I43" s="26"/>
      <c r="J43" s="27"/>
      <c r="K43" s="27"/>
      <c r="L43" s="28"/>
      <c r="M43" s="28"/>
      <c r="N43" s="29"/>
    </row>
    <row r="44" spans="3:18" s="23" customFormat="1" ht="25.2" customHeight="1" x14ac:dyDescent="0.55000000000000004">
      <c r="D44" s="4"/>
      <c r="E44" s="48"/>
      <c r="F44" s="48"/>
      <c r="G44" s="48"/>
      <c r="H44" s="76" t="s">
        <v>23</v>
      </c>
      <c r="I44" s="76"/>
      <c r="J44" s="76"/>
      <c r="K44" s="76"/>
      <c r="L44" s="76"/>
      <c r="M44" s="76"/>
      <c r="N44" s="76"/>
      <c r="O44" s="76"/>
      <c r="P44" s="76"/>
    </row>
    <row r="45" spans="3:18" ht="23.4" x14ac:dyDescent="0.45">
      <c r="L45" s="30"/>
      <c r="M45" s="30"/>
      <c r="N45" s="30"/>
      <c r="O45" s="30"/>
      <c r="P45" s="30"/>
    </row>
  </sheetData>
  <mergeCells count="35">
    <mergeCell ref="D6:E6"/>
    <mergeCell ref="F6:I6"/>
    <mergeCell ref="L6:O6"/>
    <mergeCell ref="G3:J3"/>
    <mergeCell ref="E4:H4"/>
    <mergeCell ref="D5:E5"/>
    <mergeCell ref="F5:I5"/>
    <mergeCell ref="L5:N5"/>
    <mergeCell ref="D7:E7"/>
    <mergeCell ref="F7:I7"/>
    <mergeCell ref="L7:O7"/>
    <mergeCell ref="D8:E9"/>
    <mergeCell ref="F8:I9"/>
    <mergeCell ref="K8:K9"/>
    <mergeCell ref="L8:O9"/>
    <mergeCell ref="H44:P44"/>
    <mergeCell ref="D10:E11"/>
    <mergeCell ref="F10:I11"/>
    <mergeCell ref="K10:K11"/>
    <mergeCell ref="L10:O11"/>
    <mergeCell ref="D13:L13"/>
    <mergeCell ref="D24:H24"/>
    <mergeCell ref="K24:K25"/>
    <mergeCell ref="L24:L25"/>
    <mergeCell ref="D25:H25"/>
    <mergeCell ref="F39:H39"/>
    <mergeCell ref="D29:H29"/>
    <mergeCell ref="D31:L31"/>
    <mergeCell ref="D28:L28"/>
    <mergeCell ref="D35:L35"/>
    <mergeCell ref="D34:L34"/>
    <mergeCell ref="I26:J26"/>
    <mergeCell ref="D32:M32"/>
    <mergeCell ref="D33:L33"/>
    <mergeCell ref="D26:G26"/>
  </mergeCells>
  <pageMargins left="0.7" right="0.7" top="0.75" bottom="0.75" header="0.3" footer="0.3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Legendary Era</dc:creator>
  <cp:lastModifiedBy>Charmaine Lane</cp:lastModifiedBy>
  <cp:lastPrinted>2026-09-04T19:09:50Z</cp:lastPrinted>
  <dcterms:created xsi:type="dcterms:W3CDTF">2021-11-02T16:36:09Z</dcterms:created>
  <dcterms:modified xsi:type="dcterms:W3CDTF">2026-10-05T17:01:19Z</dcterms:modified>
</cp:coreProperties>
</file>