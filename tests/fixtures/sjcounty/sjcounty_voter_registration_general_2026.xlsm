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crossingstv0-my.sharepoint.com/personal/charmaine_lane_crossingstv_com/Documents/"/>
    </mc:Choice>
  </mc:AlternateContent>
  <xr:revisionPtr revIDLastSave="166" documentId="8_{EF4B3958-589B-4443-820A-AEABD9B4898E}" xr6:coauthVersionLast="47" xr6:coauthVersionMax="47" xr10:uidLastSave="{762FC375-7B50-4045-A26A-AEF5ECB86BF6}"/>
  <bookViews>
    <workbookView xWindow="-108" yWindow="-108" windowWidth="23256" windowHeight="12456" tabRatio="294" xr2:uid="{00000000-000D-0000-FFFF-FFFF00000000}"/>
  </bookViews>
  <sheets>
    <sheet name="SJ County" sheetId="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9" i="5" l="1"/>
  <c r="H29" i="5"/>
  <c r="I29" i="5"/>
  <c r="J29" i="5"/>
  <c r="K29" i="5"/>
  <c r="L29" i="5"/>
  <c r="M29" i="5"/>
  <c r="F29" i="5"/>
  <c r="G23" i="5"/>
  <c r="H23" i="5" s="1"/>
  <c r="I23" i="5" s="1"/>
  <c r="J23" i="5" s="1"/>
  <c r="K23" i="5" s="1"/>
  <c r="L23" i="5" s="1"/>
  <c r="M23" i="5" s="1"/>
  <c r="G19" i="5"/>
  <c r="H19" i="5"/>
  <c r="I19" i="5"/>
  <c r="J19" i="5"/>
  <c r="K19" i="5"/>
  <c r="L19" i="5"/>
  <c r="M19" i="5"/>
  <c r="G13" i="5"/>
  <c r="H13" i="5" s="1"/>
  <c r="I13" i="5" s="1"/>
  <c r="J13" i="5" s="1"/>
  <c r="K13" i="5" s="1"/>
  <c r="L13" i="5" s="1"/>
  <c r="M13" i="5" s="1"/>
  <c r="N25" i="5"/>
  <c r="N26" i="5"/>
  <c r="N27" i="5"/>
  <c r="N28" i="5"/>
  <c r="N24" i="5"/>
  <c r="F19" i="5" l="1"/>
  <c r="N17" i="5"/>
  <c r="O26" i="5"/>
  <c r="N16" i="5"/>
  <c r="O16" i="5" s="1"/>
  <c r="N18" i="5" l="1"/>
  <c r="O18" i="5" s="1"/>
  <c r="N15" i="5"/>
  <c r="O15" i="5" s="1"/>
  <c r="N14" i="5"/>
  <c r="N29" i="5" l="1"/>
  <c r="O28" i="5"/>
  <c r="O17" i="5"/>
  <c r="O27" i="5" l="1"/>
  <c r="O25" i="5"/>
  <c r="N19" i="5" l="1"/>
  <c r="O14" i="5"/>
  <c r="O24" i="5"/>
  <c r="O29" i="5" l="1"/>
  <c r="O19" i="5"/>
  <c r="D43" i="5" s="1"/>
  <c r="D45" i="5" l="1"/>
</calcChain>
</file>

<file path=xl/sharedStrings.xml><?xml version="1.0" encoding="utf-8"?>
<sst xmlns="http://schemas.openxmlformats.org/spreadsheetml/2006/main" count="56" uniqueCount="48">
  <si>
    <t>Insertion</t>
  </si>
  <si>
    <t>Time</t>
  </si>
  <si>
    <t>Units</t>
  </si>
  <si>
    <t>Hmong</t>
  </si>
  <si>
    <t>Chinese</t>
  </si>
  <si>
    <t>Filipino</t>
  </si>
  <si>
    <t>Vietnamese</t>
  </si>
  <si>
    <t>ROS Bonus</t>
  </si>
  <si>
    <t>TOTAL</t>
  </si>
  <si>
    <t xml:space="preserve">Total Paid  </t>
  </si>
  <si>
    <t>Value</t>
  </si>
  <si>
    <t xml:space="preserve">Total Value </t>
  </si>
  <si>
    <t>Filipino New/Talk</t>
  </si>
  <si>
    <t>Sat-Sun 6p-8p</t>
  </si>
  <si>
    <t>M-F 4p-5p, 6p-7p</t>
  </si>
  <si>
    <t>Summary of Contract</t>
  </si>
  <si>
    <t xml:space="preserve">Total </t>
  </si>
  <si>
    <t xml:space="preserve">Summary of Investment </t>
  </si>
  <si>
    <t>South Asian News (Punjabi)</t>
  </si>
  <si>
    <t>M-F 2p-4p</t>
  </si>
  <si>
    <t>Punjabi</t>
  </si>
  <si>
    <t>Voiceover Translations only</t>
  </si>
  <si>
    <t>Production Services</t>
  </si>
  <si>
    <t>Vietnamese News/Talk &amp; Drama</t>
  </si>
  <si>
    <t>M-Sun 10a-1p</t>
  </si>
  <si>
    <t xml:space="preserve">San Joaquin  County Voter &amp;Registration Media Campaign </t>
  </si>
  <si>
    <t>9/14/2026 through 11/3/2026</t>
  </si>
  <si>
    <t>Flight Date:</t>
  </si>
  <si>
    <t>Creative:</t>
  </si>
  <si>
    <t>:30 seconds</t>
  </si>
  <si>
    <t>(916) 802-6240</t>
  </si>
  <si>
    <t>stephanieyoder@sbcglobal.net</t>
  </si>
  <si>
    <t xml:space="preserve">Email: </t>
  </si>
  <si>
    <t>Stephanie Yoder</t>
  </si>
  <si>
    <t xml:space="preserve">San Joaquin County Voter </t>
  </si>
  <si>
    <t xml:space="preserve">Client:  </t>
  </si>
  <si>
    <t xml:space="preserve">Contact: </t>
  </si>
  <si>
    <t>Phone:</t>
  </si>
  <si>
    <t>Chinese News (Mandarin &amp;  Cantonese)</t>
  </si>
  <si>
    <t>M-Sun 7p-9p/ M-F 11:30p-12a</t>
  </si>
  <si>
    <t>BONUS  (30seconds)</t>
  </si>
  <si>
    <t>Total Bonuses</t>
  </si>
  <si>
    <t>Hmong Variety/News</t>
  </si>
  <si>
    <t xml:space="preserve">*Crossings TV will provide voiceover translation  for client's :30seconds TVC   </t>
  </si>
  <si>
    <t>Total Airtime</t>
  </si>
  <si>
    <t>*Mandarin, Cantonese, Tagalog, Vietnamese,   Hmong, and Punjabi</t>
  </si>
  <si>
    <t>*Retail Value ( $3,525)</t>
  </si>
  <si>
    <t>Voiceover translation fees:  $2,650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</si>
</sst>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Noto Sans"/>
      <family val="2"/>
    </font>
    <font>
      <sz val="12"/>
      <color theme="1"/>
      <name val="Noto Sans"/>
      <family val="2"/>
    </font>
    <font>
      <b/>
      <sz val="14"/>
      <color theme="1"/>
      <name val="Noto Sans"/>
      <family val="2"/>
    </font>
    <font>
      <sz val="14"/>
      <color theme="1"/>
      <name val="Noto Sans"/>
      <family val="2"/>
    </font>
    <font>
      <b/>
      <sz val="14"/>
      <name val="Noto Sans"/>
      <family val="2"/>
    </font>
    <font>
      <b/>
      <sz val="14"/>
      <color rgb="FFFF0000"/>
      <name val="Noto Sans"/>
      <family val="2"/>
    </font>
    <font>
      <b/>
      <i/>
      <sz val="14"/>
      <color rgb="FFFF0000"/>
      <name val="Noto Sans"/>
      <family val="2"/>
    </font>
    <font>
      <sz val="9"/>
      <color theme="1"/>
      <name val="Noto Sans"/>
      <family val="2"/>
    </font>
    <font>
      <b/>
      <sz val="12"/>
      <color rgb="FFFF0000"/>
      <name val="Noto Sans"/>
      <family val="2"/>
    </font>
    <font>
      <b/>
      <sz val="11"/>
      <color theme="1"/>
      <name val="Noto Sans"/>
      <family val="2"/>
    </font>
    <font>
      <sz val="9"/>
      <name val="Noto Sans"/>
      <family val="2"/>
    </font>
    <font>
      <b/>
      <i/>
      <sz val="11"/>
      <color rgb="FFFF0000"/>
      <name val="Noto Sans"/>
      <family val="2"/>
    </font>
    <font>
      <b/>
      <sz val="11"/>
      <color rgb="FFFF0000"/>
      <name val="Noto Sans"/>
      <family val="2"/>
    </font>
    <font>
      <b/>
      <sz val="12"/>
      <name val="Noto Sans"/>
      <family val="2"/>
    </font>
    <font>
      <sz val="12"/>
      <color rgb="FFFF0000"/>
      <name val="Noto Sans"/>
      <family val="2"/>
    </font>
    <font>
      <b/>
      <i/>
      <sz val="12"/>
      <color rgb="FFFF0000"/>
      <name val="Noto Sans"/>
      <family val="2"/>
    </font>
    <font>
      <sz val="10"/>
      <color theme="1"/>
      <name val="Noto Sans"/>
      <family val="2"/>
    </font>
    <font>
      <b/>
      <i/>
      <sz val="11"/>
      <color theme="1"/>
      <name val="Noto Sans"/>
      <family val="2"/>
    </font>
    <font>
      <i/>
      <sz val="11"/>
      <color theme="1"/>
      <name val="Noto Sans"/>
      <family val="2"/>
    </font>
    <font>
      <b/>
      <sz val="12"/>
      <color theme="1"/>
      <name val="Noto Sans"/>
      <family val="2"/>
    </font>
  </fonts>
  <fills count="3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29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87">
    <xf numFmtId="0" fontId="0" fillId="0" borderId="0" xfId="0"/>
    <xf numFmtId="0" fontId="20" fillId="0" borderId="0" xfId="0" applyFont="1"/>
    <xf numFmtId="0" fontId="21" fillId="0" borderId="0" xfId="0" applyFont="1"/>
    <xf numFmtId="0" fontId="23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27" fillId="0" borderId="0" xfId="0" applyFont="1" applyAlignment="1">
      <alignment horizontal="center"/>
    </xf>
    <xf numFmtId="6" fontId="27" fillId="0" borderId="0" xfId="0" applyNumberFormat="1" applyFont="1" applyAlignment="1">
      <alignment horizontal="right"/>
    </xf>
    <xf numFmtId="16" fontId="20" fillId="0" borderId="0" xfId="0" applyNumberFormat="1" applyFont="1" applyAlignment="1">
      <alignment horizontal="center"/>
    </xf>
    <xf numFmtId="44" fontId="28" fillId="0" borderId="0" xfId="44" applyFont="1" applyFill="1" applyBorder="1" applyAlignment="1">
      <alignment horizontal="right"/>
    </xf>
    <xf numFmtId="0" fontId="29" fillId="33" borderId="10" xfId="0" applyFont="1" applyFill="1" applyBorder="1" applyAlignment="1">
      <alignment horizontal="center" wrapText="1"/>
    </xf>
    <xf numFmtId="16" fontId="29" fillId="33" borderId="10" xfId="0" applyNumberFormat="1" applyFont="1" applyFill="1" applyBorder="1" applyAlignment="1">
      <alignment horizontal="center" wrapText="1"/>
    </xf>
    <xf numFmtId="0" fontId="29" fillId="33" borderId="10" xfId="0" applyFont="1" applyFill="1" applyBorder="1"/>
    <xf numFmtId="0" fontId="30" fillId="34" borderId="10" xfId="0" applyFont="1" applyFill="1" applyBorder="1" applyAlignment="1">
      <alignment horizontal="center"/>
    </xf>
    <xf numFmtId="44" fontId="30" fillId="34" borderId="10" xfId="44" applyFont="1" applyFill="1" applyBorder="1" applyAlignment="1">
      <alignment horizontal="center"/>
    </xf>
    <xf numFmtId="0" fontId="27" fillId="34" borderId="10" xfId="0" applyFont="1" applyFill="1" applyBorder="1" applyAlignment="1">
      <alignment horizontal="center"/>
    </xf>
    <xf numFmtId="44" fontId="27" fillId="34" borderId="10" xfId="44" applyFont="1" applyFill="1" applyBorder="1" applyAlignment="1">
      <alignment horizontal="center"/>
    </xf>
    <xf numFmtId="0" fontId="30" fillId="35" borderId="10" xfId="0" applyFont="1" applyFill="1" applyBorder="1" applyAlignment="1">
      <alignment horizontal="center"/>
    </xf>
    <xf numFmtId="44" fontId="30" fillId="35" borderId="10" xfId="44" applyFont="1" applyFill="1" applyBorder="1" applyAlignment="1">
      <alignment horizontal="center"/>
    </xf>
    <xf numFmtId="0" fontId="27" fillId="35" borderId="10" xfId="0" applyFont="1" applyFill="1" applyBorder="1" applyAlignment="1">
      <alignment horizontal="center"/>
    </xf>
    <xf numFmtId="44" fontId="27" fillId="35" borderId="10" xfId="44" applyFont="1" applyFill="1" applyBorder="1" applyAlignment="1">
      <alignment horizontal="center"/>
    </xf>
    <xf numFmtId="0" fontId="30" fillId="33" borderId="10" xfId="0" applyFont="1" applyFill="1" applyBorder="1" applyAlignment="1">
      <alignment horizontal="center"/>
    </xf>
    <xf numFmtId="44" fontId="30" fillId="33" borderId="10" xfId="44" applyFont="1" applyFill="1" applyBorder="1" applyAlignment="1">
      <alignment horizontal="center"/>
    </xf>
    <xf numFmtId="0" fontId="27" fillId="33" borderId="10" xfId="0" applyFont="1" applyFill="1" applyBorder="1" applyAlignment="1">
      <alignment horizontal="center"/>
    </xf>
    <xf numFmtId="44" fontId="27" fillId="33" borderId="10" xfId="44" applyFont="1" applyFill="1" applyBorder="1" applyAlignment="1">
      <alignment horizontal="center"/>
    </xf>
    <xf numFmtId="44" fontId="20" fillId="0" borderId="0" xfId="0" applyNumberFormat="1" applyFont="1"/>
    <xf numFmtId="0" fontId="30" fillId="36" borderId="10" xfId="0" applyFont="1" applyFill="1" applyBorder="1" applyAlignment="1">
      <alignment horizontal="center"/>
    </xf>
    <xf numFmtId="44" fontId="30" fillId="36" borderId="10" xfId="44" applyFont="1" applyFill="1" applyBorder="1" applyAlignment="1">
      <alignment horizontal="center"/>
    </xf>
    <xf numFmtId="0" fontId="27" fillId="36" borderId="10" xfId="0" applyFont="1" applyFill="1" applyBorder="1" applyAlignment="1">
      <alignment horizontal="center"/>
    </xf>
    <xf numFmtId="44" fontId="27" fillId="36" borderId="10" xfId="44" applyFont="1" applyFill="1" applyBorder="1" applyAlignment="1">
      <alignment horizontal="center"/>
    </xf>
    <xf numFmtId="0" fontId="30" fillId="37" borderId="10" xfId="0" applyFont="1" applyFill="1" applyBorder="1" applyAlignment="1">
      <alignment horizontal="center"/>
    </xf>
    <xf numFmtId="44" fontId="30" fillId="37" borderId="10" xfId="44" applyFont="1" applyFill="1" applyBorder="1" applyAlignment="1">
      <alignment horizontal="center"/>
    </xf>
    <xf numFmtId="0" fontId="27" fillId="37" borderId="10" xfId="0" applyFont="1" applyFill="1" applyBorder="1" applyAlignment="1">
      <alignment horizontal="center"/>
    </xf>
    <xf numFmtId="44" fontId="27" fillId="37" borderId="10" xfId="44" applyFont="1" applyFill="1" applyBorder="1" applyAlignment="1">
      <alignment horizontal="center"/>
    </xf>
    <xf numFmtId="0" fontId="31" fillId="35" borderId="10" xfId="0" applyFont="1" applyFill="1" applyBorder="1"/>
    <xf numFmtId="0" fontId="31" fillId="35" borderId="10" xfId="0" applyFont="1" applyFill="1" applyBorder="1" applyAlignment="1">
      <alignment horizontal="center"/>
    </xf>
    <xf numFmtId="0" fontId="32" fillId="35" borderId="10" xfId="0" applyFont="1" applyFill="1" applyBorder="1" applyAlignment="1">
      <alignment horizontal="center"/>
    </xf>
    <xf numFmtId="44" fontId="32" fillId="35" borderId="10" xfId="44" applyFont="1" applyFill="1" applyBorder="1" applyAlignment="1">
      <alignment horizontal="right"/>
    </xf>
    <xf numFmtId="0" fontId="31" fillId="0" borderId="0" xfId="0" applyFont="1"/>
    <xf numFmtId="44" fontId="32" fillId="0" borderId="0" xfId="44" applyFont="1" applyFill="1" applyBorder="1" applyAlignment="1">
      <alignment horizontal="right"/>
    </xf>
    <xf numFmtId="0" fontId="33" fillId="38" borderId="0" xfId="0" applyFont="1" applyFill="1" applyAlignment="1">
      <alignment horizontal="center"/>
    </xf>
    <xf numFmtId="0" fontId="34" fillId="38" borderId="0" xfId="0" applyFont="1" applyFill="1" applyAlignment="1">
      <alignment horizontal="center"/>
    </xf>
    <xf numFmtId="6" fontId="34" fillId="38" borderId="0" xfId="0" applyNumberFormat="1" applyFont="1" applyFill="1" applyAlignment="1">
      <alignment horizontal="right"/>
    </xf>
    <xf numFmtId="0" fontId="35" fillId="38" borderId="0" xfId="0" applyFont="1" applyFill="1" applyAlignment="1">
      <alignment horizontal="right"/>
    </xf>
    <xf numFmtId="44" fontId="28" fillId="38" borderId="0" xfId="44" applyFont="1" applyFill="1" applyBorder="1" applyAlignment="1">
      <alignment horizontal="right"/>
    </xf>
    <xf numFmtId="0" fontId="35" fillId="0" borderId="0" xfId="0" applyFont="1" applyAlignment="1">
      <alignment horizontal="center"/>
    </xf>
    <xf numFmtId="8" fontId="28" fillId="0" borderId="0" xfId="44" applyNumberFormat="1" applyFont="1" applyFill="1" applyBorder="1" applyAlignment="1">
      <alignment horizontal="right"/>
    </xf>
    <xf numFmtId="0" fontId="30" fillId="0" borderId="10" xfId="0" applyFont="1" applyBorder="1" applyAlignment="1">
      <alignment horizontal="center"/>
    </xf>
    <xf numFmtId="44" fontId="30" fillId="0" borderId="10" xfId="44" applyFont="1" applyFill="1" applyBorder="1" applyAlignment="1">
      <alignment horizontal="center"/>
    </xf>
    <xf numFmtId="0" fontId="27" fillId="0" borderId="10" xfId="0" applyFont="1" applyBorder="1" applyAlignment="1">
      <alignment horizontal="center"/>
    </xf>
    <xf numFmtId="44" fontId="27" fillId="0" borderId="10" xfId="0" applyNumberFormat="1" applyFont="1" applyBorder="1" applyAlignment="1">
      <alignment horizontal="center"/>
    </xf>
    <xf numFmtId="0" fontId="28" fillId="33" borderId="10" xfId="0" applyFont="1" applyFill="1" applyBorder="1" applyAlignment="1">
      <alignment horizontal="center"/>
    </xf>
    <xf numFmtId="44" fontId="28" fillId="33" borderId="10" xfId="44" applyFont="1" applyFill="1" applyBorder="1" applyAlignment="1">
      <alignment horizontal="right"/>
    </xf>
    <xf numFmtId="0" fontId="23" fillId="0" borderId="0" xfId="0" applyFont="1"/>
    <xf numFmtId="0" fontId="20" fillId="0" borderId="15" xfId="0" applyFont="1" applyBorder="1"/>
    <xf numFmtId="0" fontId="20" fillId="0" borderId="13" xfId="0" applyFont="1" applyBorder="1"/>
    <xf numFmtId="44" fontId="20" fillId="0" borderId="14" xfId="44" applyFont="1" applyBorder="1"/>
    <xf numFmtId="6" fontId="20" fillId="0" borderId="0" xfId="44" applyNumberFormat="1" applyFont="1" applyBorder="1"/>
    <xf numFmtId="0" fontId="36" fillId="0" borderId="15" xfId="0" applyFont="1" applyBorder="1"/>
    <xf numFmtId="44" fontId="20" fillId="0" borderId="0" xfId="44" applyFont="1" applyBorder="1"/>
    <xf numFmtId="0" fontId="25" fillId="0" borderId="16" xfId="0" applyFont="1" applyBorder="1"/>
    <xf numFmtId="44" fontId="25" fillId="0" borderId="17" xfId="0" applyNumberFormat="1" applyFont="1" applyBorder="1"/>
    <xf numFmtId="0" fontId="25" fillId="0" borderId="0" xfId="0" applyFont="1"/>
    <xf numFmtId="44" fontId="25" fillId="0" borderId="0" xfId="0" applyNumberFormat="1" applyFont="1"/>
    <xf numFmtId="0" fontId="37" fillId="0" borderId="0" xfId="0" applyFont="1"/>
    <xf numFmtId="0" fontId="35" fillId="33" borderId="10" xfId="0" applyFont="1" applyFill="1" applyBorder="1" applyAlignment="1">
      <alignment horizontal="center"/>
    </xf>
    <xf numFmtId="0" fontId="38" fillId="0" borderId="0" xfId="0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9" fillId="0" borderId="0" xfId="0" applyFont="1" applyAlignment="1">
      <alignment horizontal="right"/>
    </xf>
    <xf numFmtId="0" fontId="39" fillId="0" borderId="0" xfId="0" applyFont="1" applyAlignment="1">
      <alignment horizontal="right"/>
    </xf>
    <xf numFmtId="0" fontId="31" fillId="33" borderId="10" xfId="0" applyFont="1" applyFill="1" applyBorder="1"/>
    <xf numFmtId="0" fontId="23" fillId="33" borderId="0" xfId="0" applyFont="1" applyFill="1"/>
    <xf numFmtId="0" fontId="24" fillId="33" borderId="0" xfId="0" applyFont="1" applyFill="1"/>
    <xf numFmtId="0" fontId="24" fillId="33" borderId="0" xfId="0" applyFont="1" applyFill="1" applyAlignment="1">
      <alignment wrapText="1"/>
    </xf>
    <xf numFmtId="0" fontId="26" fillId="33" borderId="0" xfId="0" applyFont="1" applyFill="1" applyAlignment="1">
      <alignment horizontal="right"/>
    </xf>
    <xf numFmtId="44" fontId="25" fillId="33" borderId="0" xfId="44" applyFont="1" applyFill="1" applyBorder="1" applyAlignment="1">
      <alignment horizontal="right"/>
    </xf>
    <xf numFmtId="0" fontId="24" fillId="0" borderId="0" xfId="0" applyFont="1"/>
    <xf numFmtId="0" fontId="24" fillId="0" borderId="0" xfId="0" applyFont="1" applyAlignment="1">
      <alignment wrapText="1"/>
    </xf>
    <xf numFmtId="0" fontId="25" fillId="0" borderId="0" xfId="0" applyFont="1" applyAlignment="1">
      <alignment horizontal="left"/>
    </xf>
    <xf numFmtId="0" fontId="26" fillId="0" borderId="0" xfId="0" applyFont="1" applyAlignment="1">
      <alignment horizontal="right"/>
    </xf>
    <xf numFmtId="44" fontId="25" fillId="0" borderId="0" xfId="44" applyFont="1" applyFill="1" applyBorder="1" applyAlignment="1">
      <alignment horizontal="right"/>
    </xf>
    <xf numFmtId="0" fontId="29" fillId="0" borderId="11" xfId="0" applyFont="1" applyBorder="1" applyAlignment="1">
      <alignment horizontal="center"/>
    </xf>
    <xf numFmtId="0" fontId="29" fillId="0" borderId="12" xfId="0" applyFont="1" applyBorder="1" applyAlignment="1">
      <alignment horizontal="center"/>
    </xf>
    <xf numFmtId="44" fontId="26" fillId="0" borderId="0" xfId="44" applyFont="1" applyBorder="1" applyAlignment="1">
      <alignment horizontal="left"/>
    </xf>
    <xf numFmtId="0" fontId="20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25" fillId="33" borderId="0" xfId="0" applyFont="1" applyFill="1" applyAlignment="1">
      <alignment horizontal="left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44" builtinId="4"/>
    <cellStyle name="Explanatory Text" xfId="28" builtinId="53" customBuiltin="1"/>
    <cellStyle name="Followed Hyperlink" xfId="29" builtinId="9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0</xdr:rowOff>
    </xdr:from>
    <xdr:to>
      <xdr:col>1</xdr:col>
      <xdr:colOff>558426</xdr:colOff>
      <xdr:row>3</xdr:row>
      <xdr:rowOff>4820</xdr:rowOff>
    </xdr:to>
    <xdr:pic>
      <xdr:nvPicPr>
        <xdr:cNvPr id="3" name="SEA Logo" descr="A blue circle with white text&#10;&#10;Description automatically generated with medium confidence">
          <a:extLst>
            <a:ext uri="{FF2B5EF4-FFF2-40B4-BE49-F238E27FC236}">
              <a16:creationId xmlns:a16="http://schemas.microsoft.com/office/drawing/2014/main" id="{04FE5DE3-563A-8921-692B-8F41E0A01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0"/>
          <a:ext cx="787026" cy="6906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74F4A-C22F-4B7A-8333-31C24E0247A9}">
  <sheetPr>
    <pageSetUpPr fitToPage="1"/>
  </sheetPr>
  <dimension ref="B2:P47"/>
  <sheetViews>
    <sheetView tabSelected="1" topLeftCell="A22" zoomScaleNormal="100" workbookViewId="0">
      <selection activeCell="J8" sqref="J8"/>
    </sheetView>
  </sheetViews>
  <sheetFormatPr defaultRowHeight="15.6" x14ac:dyDescent="0.35"/>
  <cols>
    <col min="1" max="1" width="8.88671875" style="1"/>
    <col min="2" max="2" width="12.109375" style="1" customWidth="1"/>
    <col min="3" max="3" width="33.109375" style="1" customWidth="1"/>
    <col min="4" max="4" width="23.44140625" style="1" customWidth="1"/>
    <col min="5" max="5" width="15" style="1" customWidth="1"/>
    <col min="6" max="13" width="8.77734375" style="1" customWidth="1"/>
    <col min="14" max="14" width="13.109375" style="1" customWidth="1"/>
    <col min="15" max="15" width="16.44140625" style="1" customWidth="1"/>
    <col min="16" max="16" width="13.44140625" style="1" customWidth="1"/>
    <col min="17" max="16384" width="8.88671875" style="1"/>
  </cols>
  <sheetData>
    <row r="2" spans="2:15" ht="17.399999999999999" x14ac:dyDescent="0.4">
      <c r="D2" s="2"/>
      <c r="E2" s="66"/>
      <c r="F2" s="2"/>
      <c r="G2" s="2"/>
      <c r="H2" s="2"/>
      <c r="I2" s="2"/>
      <c r="J2" s="2"/>
      <c r="K2" s="2"/>
      <c r="L2" s="2"/>
      <c r="M2" s="2"/>
    </row>
    <row r="3" spans="2:15" ht="21" x14ac:dyDescent="0.5">
      <c r="C3" s="85" t="s">
        <v>25</v>
      </c>
      <c r="D3" s="85"/>
      <c r="E3" s="85"/>
      <c r="F3" s="85"/>
      <c r="G3" s="67"/>
      <c r="H3" s="67"/>
      <c r="I3" s="67"/>
      <c r="J3" s="67"/>
      <c r="K3" s="67"/>
      <c r="L3" s="67"/>
      <c r="M3" s="67"/>
    </row>
    <row r="4" spans="2:15" ht="21" x14ac:dyDescent="0.5">
      <c r="C4" s="68" t="s">
        <v>35</v>
      </c>
      <c r="D4" s="1" t="s">
        <v>34</v>
      </c>
      <c r="E4" s="3"/>
    </row>
    <row r="5" spans="2:15" ht="21" x14ac:dyDescent="0.5">
      <c r="C5" s="68" t="s">
        <v>36</v>
      </c>
      <c r="D5" s="1" t="s">
        <v>33</v>
      </c>
      <c r="E5" s="3"/>
    </row>
    <row r="6" spans="2:15" ht="21" customHeight="1" x14ac:dyDescent="0.35">
      <c r="C6" s="68" t="s">
        <v>32</v>
      </c>
      <c r="D6" s="84" t="s">
        <v>31</v>
      </c>
      <c r="E6" s="84"/>
    </row>
    <row r="7" spans="2:15" ht="21" x14ac:dyDescent="0.5">
      <c r="C7" s="69" t="s">
        <v>37</v>
      </c>
      <c r="D7" s="1" t="s">
        <v>30</v>
      </c>
      <c r="E7" s="3"/>
    </row>
    <row r="8" spans="2:15" ht="21" x14ac:dyDescent="0.5">
      <c r="C8" s="69" t="s">
        <v>28</v>
      </c>
      <c r="D8" s="1" t="s">
        <v>29</v>
      </c>
      <c r="E8" s="3"/>
    </row>
    <row r="9" spans="2:15" ht="21" x14ac:dyDescent="0.5">
      <c r="C9" s="4"/>
      <c r="E9" s="3"/>
    </row>
    <row r="10" spans="2:15" s="71" customFormat="1" ht="21.6" customHeight="1" x14ac:dyDescent="0.5">
      <c r="B10" s="72"/>
      <c r="C10" s="73" t="s">
        <v>27</v>
      </c>
      <c r="D10" s="86" t="s">
        <v>26</v>
      </c>
      <c r="E10" s="86"/>
      <c r="F10" s="74"/>
      <c r="G10" s="74"/>
      <c r="H10" s="74"/>
      <c r="I10" s="74"/>
      <c r="J10" s="74"/>
      <c r="K10" s="74"/>
      <c r="L10" s="74"/>
      <c r="M10" s="74"/>
      <c r="N10" s="75"/>
    </row>
    <row r="11" spans="2:15" s="52" customFormat="1" ht="21.6" customHeight="1" x14ac:dyDescent="0.5">
      <c r="B11" s="76"/>
      <c r="C11" s="77"/>
      <c r="D11" s="78"/>
      <c r="E11" s="78"/>
      <c r="F11" s="79"/>
      <c r="G11" s="79"/>
      <c r="H11" s="79"/>
      <c r="I11" s="79"/>
      <c r="J11" s="79"/>
      <c r="K11" s="79"/>
      <c r="L11" s="79"/>
      <c r="M11" s="79"/>
      <c r="N11" s="80"/>
    </row>
    <row r="12" spans="2:15" ht="16.5" customHeight="1" x14ac:dyDescent="0.4">
      <c r="C12" s="5"/>
      <c r="D12" s="5"/>
      <c r="E12" s="6"/>
      <c r="F12" s="7"/>
      <c r="G12" s="7"/>
      <c r="H12" s="7"/>
      <c r="I12" s="7"/>
      <c r="J12" s="7"/>
      <c r="K12" s="7"/>
      <c r="L12" s="7"/>
      <c r="M12" s="7"/>
      <c r="N12" s="8"/>
    </row>
    <row r="13" spans="2:15" ht="30.75" customHeight="1" x14ac:dyDescent="0.35">
      <c r="C13" s="9" t="s">
        <v>0</v>
      </c>
      <c r="D13" s="9" t="s">
        <v>1</v>
      </c>
      <c r="E13" s="9" t="s">
        <v>10</v>
      </c>
      <c r="F13" s="10">
        <v>46279</v>
      </c>
      <c r="G13" s="10">
        <f>F13+7</f>
        <v>46286</v>
      </c>
      <c r="H13" s="10">
        <f t="shared" ref="H13:M13" si="0">G13+7</f>
        <v>46293</v>
      </c>
      <c r="I13" s="10">
        <f t="shared" si="0"/>
        <v>46300</v>
      </c>
      <c r="J13" s="10">
        <f t="shared" si="0"/>
        <v>46307</v>
      </c>
      <c r="K13" s="10">
        <f t="shared" si="0"/>
        <v>46314</v>
      </c>
      <c r="L13" s="10">
        <f t="shared" si="0"/>
        <v>46321</v>
      </c>
      <c r="M13" s="10">
        <f t="shared" si="0"/>
        <v>46328</v>
      </c>
      <c r="N13" s="11" t="s">
        <v>2</v>
      </c>
      <c r="O13" s="11" t="s">
        <v>8</v>
      </c>
    </row>
    <row r="14" spans="2:15" ht="16.5" customHeight="1" x14ac:dyDescent="0.35">
      <c r="C14" s="12" t="s">
        <v>38</v>
      </c>
      <c r="D14" s="12" t="s">
        <v>39</v>
      </c>
      <c r="E14" s="13">
        <v>50</v>
      </c>
      <c r="F14" s="12">
        <v>5</v>
      </c>
      <c r="G14" s="12">
        <v>5</v>
      </c>
      <c r="H14" s="12">
        <v>5</v>
      </c>
      <c r="I14" s="12">
        <v>5</v>
      </c>
      <c r="J14" s="12">
        <v>5</v>
      </c>
      <c r="K14" s="12">
        <v>5</v>
      </c>
      <c r="L14" s="12">
        <v>5</v>
      </c>
      <c r="M14" s="12">
        <v>2</v>
      </c>
      <c r="N14" s="14">
        <f>SUM(F14:M14)</f>
        <v>37</v>
      </c>
      <c r="O14" s="15">
        <f>N14*E14</f>
        <v>1850</v>
      </c>
    </row>
    <row r="15" spans="2:15" ht="13.8" customHeight="1" x14ac:dyDescent="0.35">
      <c r="C15" s="16" t="s">
        <v>12</v>
      </c>
      <c r="D15" s="16" t="s">
        <v>14</v>
      </c>
      <c r="E15" s="17">
        <v>40</v>
      </c>
      <c r="F15" s="16">
        <v>3</v>
      </c>
      <c r="G15" s="16">
        <v>3</v>
      </c>
      <c r="H15" s="16">
        <v>3</v>
      </c>
      <c r="I15" s="16">
        <v>3</v>
      </c>
      <c r="J15" s="16">
        <v>3</v>
      </c>
      <c r="K15" s="16">
        <v>3</v>
      </c>
      <c r="L15" s="16">
        <v>3</v>
      </c>
      <c r="M15" s="16">
        <v>2</v>
      </c>
      <c r="N15" s="18">
        <f>SUM(F15:M15)</f>
        <v>23</v>
      </c>
      <c r="O15" s="19">
        <f>N15*E15</f>
        <v>920</v>
      </c>
    </row>
    <row r="16" spans="2:15" ht="13.8" customHeight="1" x14ac:dyDescent="0.35">
      <c r="C16" s="20" t="s">
        <v>23</v>
      </c>
      <c r="D16" s="20" t="s">
        <v>24</v>
      </c>
      <c r="E16" s="21">
        <v>40</v>
      </c>
      <c r="F16" s="20">
        <v>4</v>
      </c>
      <c r="G16" s="20">
        <v>4</v>
      </c>
      <c r="H16" s="20">
        <v>4</v>
      </c>
      <c r="I16" s="20">
        <v>4</v>
      </c>
      <c r="J16" s="20">
        <v>4</v>
      </c>
      <c r="K16" s="20">
        <v>4</v>
      </c>
      <c r="L16" s="20">
        <v>4</v>
      </c>
      <c r="M16" s="20">
        <v>2</v>
      </c>
      <c r="N16" s="22">
        <f>SUM(F16:M16)</f>
        <v>30</v>
      </c>
      <c r="O16" s="23">
        <f>N16*E16</f>
        <v>1200</v>
      </c>
    </row>
    <row r="17" spans="2:16" x14ac:dyDescent="0.35">
      <c r="C17" s="25" t="s">
        <v>42</v>
      </c>
      <c r="D17" s="25" t="s">
        <v>13</v>
      </c>
      <c r="E17" s="26">
        <v>40</v>
      </c>
      <c r="F17" s="25">
        <v>4</v>
      </c>
      <c r="G17" s="25">
        <v>4</v>
      </c>
      <c r="H17" s="25">
        <v>4</v>
      </c>
      <c r="I17" s="25">
        <v>4</v>
      </c>
      <c r="J17" s="25">
        <v>4</v>
      </c>
      <c r="K17" s="25">
        <v>4</v>
      </c>
      <c r="L17" s="25">
        <v>4</v>
      </c>
      <c r="M17" s="25">
        <v>0</v>
      </c>
      <c r="N17" s="27">
        <f>SUM(F17:M17)</f>
        <v>28</v>
      </c>
      <c r="O17" s="28">
        <f>N17*E17</f>
        <v>1120</v>
      </c>
    </row>
    <row r="18" spans="2:16" ht="16.2" customHeight="1" x14ac:dyDescent="0.35">
      <c r="C18" s="29" t="s">
        <v>18</v>
      </c>
      <c r="D18" s="29" t="s">
        <v>19</v>
      </c>
      <c r="E18" s="30">
        <v>40</v>
      </c>
      <c r="F18" s="29">
        <v>3</v>
      </c>
      <c r="G18" s="29">
        <v>3</v>
      </c>
      <c r="H18" s="29">
        <v>3</v>
      </c>
      <c r="I18" s="29">
        <v>3</v>
      </c>
      <c r="J18" s="29">
        <v>3</v>
      </c>
      <c r="K18" s="29">
        <v>3</v>
      </c>
      <c r="L18" s="29">
        <v>3</v>
      </c>
      <c r="M18" s="29">
        <v>2</v>
      </c>
      <c r="N18" s="31">
        <f>SUM(F18:M18)</f>
        <v>23</v>
      </c>
      <c r="O18" s="32">
        <f>N18*E18</f>
        <v>920</v>
      </c>
    </row>
    <row r="19" spans="2:16" x14ac:dyDescent="0.35">
      <c r="C19" s="5"/>
      <c r="D19" s="5"/>
      <c r="E19" s="33" t="s">
        <v>9</v>
      </c>
      <c r="F19" s="34">
        <f>SUM(F14:F18)</f>
        <v>19</v>
      </c>
      <c r="G19" s="34">
        <f t="shared" ref="G19:M19" si="1">SUM(G14:G18)</f>
        <v>19</v>
      </c>
      <c r="H19" s="34">
        <f t="shared" si="1"/>
        <v>19</v>
      </c>
      <c r="I19" s="34">
        <f t="shared" si="1"/>
        <v>19</v>
      </c>
      <c r="J19" s="34">
        <f t="shared" si="1"/>
        <v>19</v>
      </c>
      <c r="K19" s="34">
        <f t="shared" si="1"/>
        <v>19</v>
      </c>
      <c r="L19" s="34">
        <f t="shared" si="1"/>
        <v>19</v>
      </c>
      <c r="M19" s="34">
        <f t="shared" si="1"/>
        <v>8</v>
      </c>
      <c r="N19" s="35">
        <f>SUM(N14:N18)</f>
        <v>141</v>
      </c>
      <c r="O19" s="36">
        <f>SUM(O14:O18)</f>
        <v>6010</v>
      </c>
    </row>
    <row r="20" spans="2:16" x14ac:dyDescent="0.35">
      <c r="C20" s="5"/>
      <c r="D20" s="5"/>
      <c r="E20" s="6"/>
      <c r="F20" s="37"/>
      <c r="G20" s="37"/>
      <c r="H20" s="37"/>
      <c r="I20" s="37"/>
      <c r="J20" s="37"/>
      <c r="K20" s="37"/>
      <c r="L20" s="37"/>
      <c r="M20" s="37"/>
      <c r="N20" s="38"/>
    </row>
    <row r="21" spans="2:16" ht="17.399999999999999" x14ac:dyDescent="0.4">
      <c r="C21" s="39" t="s">
        <v>40</v>
      </c>
      <c r="D21" s="40"/>
      <c r="E21" s="41"/>
      <c r="F21" s="42"/>
      <c r="G21" s="42"/>
      <c r="H21" s="42"/>
      <c r="I21" s="42"/>
      <c r="J21" s="42"/>
      <c r="K21" s="42"/>
      <c r="L21" s="42"/>
      <c r="M21" s="42"/>
      <c r="N21" s="43"/>
      <c r="P21" s="24"/>
    </row>
    <row r="22" spans="2:16" ht="17.399999999999999" x14ac:dyDescent="0.4">
      <c r="C22" s="5"/>
      <c r="D22" s="5"/>
      <c r="E22" s="6"/>
      <c r="F22" s="44"/>
      <c r="G22" s="44"/>
      <c r="H22" s="44"/>
      <c r="I22" s="44"/>
      <c r="J22" s="44"/>
      <c r="K22" s="44"/>
      <c r="L22" s="44"/>
      <c r="M22" s="44"/>
      <c r="N22" s="45"/>
    </row>
    <row r="23" spans="2:16" x14ac:dyDescent="0.35">
      <c r="C23" s="9" t="s">
        <v>0</v>
      </c>
      <c r="D23" s="9" t="s">
        <v>1</v>
      </c>
      <c r="E23" s="9" t="s">
        <v>10</v>
      </c>
      <c r="F23" s="10">
        <v>46279</v>
      </c>
      <c r="G23" s="10">
        <f>F23+7</f>
        <v>46286</v>
      </c>
      <c r="H23" s="10">
        <f t="shared" ref="H23:M23" si="2">G23+7</f>
        <v>46293</v>
      </c>
      <c r="I23" s="10">
        <f t="shared" si="2"/>
        <v>46300</v>
      </c>
      <c r="J23" s="10">
        <f t="shared" si="2"/>
        <v>46307</v>
      </c>
      <c r="K23" s="10">
        <f t="shared" si="2"/>
        <v>46314</v>
      </c>
      <c r="L23" s="10">
        <f t="shared" si="2"/>
        <v>46321</v>
      </c>
      <c r="M23" s="10">
        <f t="shared" si="2"/>
        <v>46328</v>
      </c>
      <c r="N23" s="11" t="s">
        <v>2</v>
      </c>
      <c r="O23" s="9" t="s">
        <v>11</v>
      </c>
    </row>
    <row r="24" spans="2:16" x14ac:dyDescent="0.35">
      <c r="C24" s="46" t="s">
        <v>4</v>
      </c>
      <c r="D24" s="46" t="s">
        <v>7</v>
      </c>
      <c r="E24" s="47">
        <v>40</v>
      </c>
      <c r="F24" s="46">
        <v>3</v>
      </c>
      <c r="G24" s="46">
        <v>3</v>
      </c>
      <c r="H24" s="46">
        <v>3</v>
      </c>
      <c r="I24" s="46">
        <v>3</v>
      </c>
      <c r="J24" s="46">
        <v>3</v>
      </c>
      <c r="K24" s="46">
        <v>3</v>
      </c>
      <c r="L24" s="46">
        <v>3</v>
      </c>
      <c r="M24" s="46">
        <v>2</v>
      </c>
      <c r="N24" s="48">
        <f>SUM(F24:M24)</f>
        <v>23</v>
      </c>
      <c r="O24" s="49">
        <f>N24*E24</f>
        <v>920</v>
      </c>
    </row>
    <row r="25" spans="2:16" x14ac:dyDescent="0.35">
      <c r="C25" s="46" t="s">
        <v>5</v>
      </c>
      <c r="D25" s="46" t="s">
        <v>7</v>
      </c>
      <c r="E25" s="47">
        <v>30</v>
      </c>
      <c r="F25" s="46">
        <v>3</v>
      </c>
      <c r="G25" s="46">
        <v>3</v>
      </c>
      <c r="H25" s="46">
        <v>3</v>
      </c>
      <c r="I25" s="46">
        <v>3</v>
      </c>
      <c r="J25" s="46">
        <v>3</v>
      </c>
      <c r="K25" s="46">
        <v>3</v>
      </c>
      <c r="L25" s="46">
        <v>3</v>
      </c>
      <c r="M25" s="46">
        <v>2</v>
      </c>
      <c r="N25" s="48">
        <f>SUM(F25:M25)</f>
        <v>23</v>
      </c>
      <c r="O25" s="49">
        <f>N25*E25</f>
        <v>690</v>
      </c>
    </row>
    <row r="26" spans="2:16" x14ac:dyDescent="0.35">
      <c r="C26" s="46" t="s">
        <v>6</v>
      </c>
      <c r="D26" s="46" t="s">
        <v>7</v>
      </c>
      <c r="E26" s="47">
        <v>40</v>
      </c>
      <c r="F26" s="46">
        <v>3</v>
      </c>
      <c r="G26" s="46">
        <v>3</v>
      </c>
      <c r="H26" s="46">
        <v>3</v>
      </c>
      <c r="I26" s="46">
        <v>3</v>
      </c>
      <c r="J26" s="46">
        <v>3</v>
      </c>
      <c r="K26" s="46">
        <v>3</v>
      </c>
      <c r="L26" s="46">
        <v>3</v>
      </c>
      <c r="M26" s="46">
        <v>2</v>
      </c>
      <c r="N26" s="48">
        <f>SUM(F26:M26)</f>
        <v>23</v>
      </c>
      <c r="O26" s="49">
        <f>N26*E26</f>
        <v>920</v>
      </c>
    </row>
    <row r="27" spans="2:16" x14ac:dyDescent="0.35">
      <c r="C27" s="46" t="s">
        <v>3</v>
      </c>
      <c r="D27" s="46" t="s">
        <v>7</v>
      </c>
      <c r="E27" s="47">
        <v>40</v>
      </c>
      <c r="F27" s="46">
        <v>3</v>
      </c>
      <c r="G27" s="46">
        <v>3</v>
      </c>
      <c r="H27" s="46">
        <v>3</v>
      </c>
      <c r="I27" s="46">
        <v>3</v>
      </c>
      <c r="J27" s="46">
        <v>3</v>
      </c>
      <c r="K27" s="46">
        <v>3</v>
      </c>
      <c r="L27" s="46">
        <v>3</v>
      </c>
      <c r="M27" s="46">
        <v>0</v>
      </c>
      <c r="N27" s="48">
        <f>SUM(F27:M27)</f>
        <v>21</v>
      </c>
      <c r="O27" s="49">
        <f>N27*E27</f>
        <v>840</v>
      </c>
    </row>
    <row r="28" spans="2:16" x14ac:dyDescent="0.35">
      <c r="C28" s="46" t="s">
        <v>20</v>
      </c>
      <c r="D28" s="46" t="s">
        <v>7</v>
      </c>
      <c r="E28" s="47">
        <v>40</v>
      </c>
      <c r="F28" s="46">
        <v>3</v>
      </c>
      <c r="G28" s="46">
        <v>3</v>
      </c>
      <c r="H28" s="46">
        <v>3</v>
      </c>
      <c r="I28" s="46">
        <v>3</v>
      </c>
      <c r="J28" s="46">
        <v>3</v>
      </c>
      <c r="K28" s="46">
        <v>3</v>
      </c>
      <c r="L28" s="46">
        <v>3</v>
      </c>
      <c r="M28" s="46">
        <v>2</v>
      </c>
      <c r="N28" s="48">
        <f>SUM(F28:M28)</f>
        <v>23</v>
      </c>
      <c r="O28" s="49">
        <f>N28*E28</f>
        <v>920</v>
      </c>
    </row>
    <row r="29" spans="2:16" ht="17.399999999999999" x14ac:dyDescent="0.4">
      <c r="C29" s="5"/>
      <c r="D29" s="5"/>
      <c r="E29" s="70" t="s">
        <v>41</v>
      </c>
      <c r="F29" s="64">
        <f>SUM(F24:F28)</f>
        <v>15</v>
      </c>
      <c r="G29" s="64">
        <f t="shared" ref="G29:M29" si="3">SUM(G24:G28)</f>
        <v>15</v>
      </c>
      <c r="H29" s="64">
        <f t="shared" si="3"/>
        <v>15</v>
      </c>
      <c r="I29" s="64">
        <f t="shared" si="3"/>
        <v>15</v>
      </c>
      <c r="J29" s="64">
        <f t="shared" si="3"/>
        <v>15</v>
      </c>
      <c r="K29" s="64">
        <f t="shared" si="3"/>
        <v>15</v>
      </c>
      <c r="L29" s="64">
        <f t="shared" si="3"/>
        <v>15</v>
      </c>
      <c r="M29" s="64">
        <f t="shared" si="3"/>
        <v>8</v>
      </c>
      <c r="N29" s="50">
        <f>SUM(N24:N28)</f>
        <v>113</v>
      </c>
      <c r="O29" s="51">
        <f>SUM(O24:O28)</f>
        <v>4290</v>
      </c>
    </row>
    <row r="30" spans="2:16" x14ac:dyDescent="0.35">
      <c r="C30" s="5"/>
      <c r="D30" s="5"/>
      <c r="E30" s="6"/>
      <c r="F30" s="37"/>
      <c r="G30" s="37"/>
      <c r="H30" s="37"/>
      <c r="I30" s="37"/>
      <c r="J30" s="37"/>
      <c r="K30" s="37"/>
      <c r="L30" s="37"/>
      <c r="M30" s="37"/>
      <c r="N30" s="38"/>
    </row>
    <row r="32" spans="2:16" s="71" customFormat="1" ht="21" x14ac:dyDescent="0.5">
      <c r="B32" s="71" t="s">
        <v>22</v>
      </c>
    </row>
    <row r="34" spans="2:15" x14ac:dyDescent="0.35">
      <c r="C34" s="84" t="s">
        <v>43</v>
      </c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</row>
    <row r="35" spans="2:15" x14ac:dyDescent="0.35">
      <c r="C35" s="84" t="s">
        <v>45</v>
      </c>
      <c r="D35" s="84"/>
      <c r="E35" s="84"/>
      <c r="F35" s="84"/>
      <c r="G35" s="84"/>
      <c r="H35" s="84"/>
      <c r="I35" s="84"/>
      <c r="J35" s="84"/>
      <c r="K35" s="84"/>
      <c r="L35" s="84"/>
      <c r="M35" s="84"/>
    </row>
    <row r="36" spans="2:15" ht="21" x14ac:dyDescent="0.5">
      <c r="C36" s="83" t="s">
        <v>47</v>
      </c>
      <c r="D36" s="83"/>
    </row>
    <row r="37" spans="2:15" x14ac:dyDescent="0.35">
      <c r="C37" s="65" t="s">
        <v>46</v>
      </c>
    </row>
    <row r="39" spans="2:15" s="71" customFormat="1" ht="21" x14ac:dyDescent="0.5">
      <c r="B39" s="71" t="s">
        <v>17</v>
      </c>
    </row>
    <row r="40" spans="2:15" s="52" customFormat="1" ht="21" x14ac:dyDescent="0.5">
      <c r="F40" s="1"/>
      <c r="G40" s="1"/>
      <c r="H40" s="1"/>
      <c r="I40" s="1"/>
      <c r="J40" s="1"/>
      <c r="K40" s="1"/>
      <c r="L40" s="1"/>
      <c r="M40" s="1"/>
    </row>
    <row r="41" spans="2:15" x14ac:dyDescent="0.35">
      <c r="C41" s="81" t="s">
        <v>15</v>
      </c>
      <c r="D41" s="82"/>
    </row>
    <row r="42" spans="2:15" x14ac:dyDescent="0.35">
      <c r="C42" s="53"/>
      <c r="D42" s="54"/>
    </row>
    <row r="43" spans="2:15" x14ac:dyDescent="0.35">
      <c r="C43" s="53" t="s">
        <v>44</v>
      </c>
      <c r="D43" s="55">
        <f>O19</f>
        <v>6010</v>
      </c>
      <c r="E43" s="56"/>
    </row>
    <row r="44" spans="2:15" ht="16.2" thickBot="1" x14ac:dyDescent="0.4">
      <c r="C44" s="57" t="s">
        <v>21</v>
      </c>
      <c r="D44" s="55">
        <v>2650</v>
      </c>
      <c r="E44" s="58"/>
    </row>
    <row r="45" spans="2:15" ht="21" x14ac:dyDescent="0.5">
      <c r="C45" s="59" t="s">
        <v>16</v>
      </c>
      <c r="D45" s="60">
        <f>SUM(D43:D44)</f>
        <v>8660</v>
      </c>
    </row>
    <row r="46" spans="2:15" ht="21" x14ac:dyDescent="0.5">
      <c r="C46" s="61"/>
      <c r="D46" s="62"/>
    </row>
    <row r="47" spans="2:15" x14ac:dyDescent="0.35">
      <c r="F47" s="63"/>
      <c r="G47" s="63"/>
      <c r="H47" s="63"/>
      <c r="I47" s="63"/>
      <c r="J47" s="63"/>
      <c r="K47" s="63"/>
      <c r="L47" s="63"/>
      <c r="M47" s="63"/>
    </row>
  </sheetData>
  <mergeCells count="7">
    <mergeCell ref="C41:D41"/>
    <mergeCell ref="C36:D36"/>
    <mergeCell ref="C35:M35"/>
    <mergeCell ref="C34:O34"/>
    <mergeCell ref="C3:F3"/>
    <mergeCell ref="D10:E10"/>
    <mergeCell ref="D6:E6"/>
  </mergeCells>
  <phoneticPr fontId="19" type="noConversion"/>
  <pageMargins left="0.7" right="0.7" top="0.75" bottom="0.75" header="0.3" footer="0.3"/>
  <pageSetup scale="5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SJ County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</dc:creator>
  <cp:lastModifiedBy>Charmaine Lane</cp:lastModifiedBy>
  <cp:lastPrinted>2024-05-13T21:04:21Z</cp:lastPrinted>
  <dcterms:created xsi:type="dcterms:W3CDTF">2010-10-07T20:27:53Z</dcterms:created>
  <dcterms:modified xsi:type="dcterms:W3CDTF">2026-08-23T19:25:14Z</dcterms:modified>
</cp:coreProperties>
</file>