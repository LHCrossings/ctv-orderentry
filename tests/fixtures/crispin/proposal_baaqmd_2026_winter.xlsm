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/>
  <workbookPr/>
  <mc:AlternateContent xmlns:mc="http://schemas.openxmlformats.org/markup-compatibility/2006">
    <mc:Choice Requires="x15">
      <x15ac:absPath xmlns:x15ac="http://schemas.microsoft.com/office/spreadsheetml/2010/11/ac" url="https://crossingstv0-my.sharepoint.com/personal/charmaine_lane_crossingstv_com/Documents/"/>
    </mc:Choice>
  </mc:AlternateContent>
  <xr:revisionPtr revIDLastSave="419" documentId="8_{4FDE48D6-9C02-4D14-9166-DB05A9064780}" xr6:coauthVersionLast="47" xr6:coauthVersionMax="47" xr10:uidLastSave="{53BED929-2764-48B3-8CCF-6AB6D578E610}"/>
  <bookViews>
    <workbookView xWindow="-108" yWindow="-108" windowWidth="23256" windowHeight="12456" xr2:uid="{00000000-000D-0000-FFFF-FFFF00000000}"/>
  </bookViews>
  <sheets>
    <sheet name="new creative" sheetId="7" r:id="rId1"/>
    <sheet name="REUSE" sheetId="1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6" i="7" l="1"/>
  <c r="D37" i="12"/>
  <c r="V29" i="12"/>
  <c r="U29" i="12"/>
  <c r="T29" i="12"/>
  <c r="S29" i="12"/>
  <c r="S30" i="12" s="1"/>
  <c r="R29" i="12"/>
  <c r="Q29" i="12"/>
  <c r="P29" i="12"/>
  <c r="O29" i="12"/>
  <c r="N29" i="12"/>
  <c r="M29" i="12"/>
  <c r="L29" i="12"/>
  <c r="K29" i="12"/>
  <c r="K30" i="12" s="1"/>
  <c r="J29" i="12"/>
  <c r="I29" i="12"/>
  <c r="H29" i="12"/>
  <c r="V28" i="12"/>
  <c r="U28" i="12"/>
  <c r="T28" i="12"/>
  <c r="S28" i="12"/>
  <c r="R28" i="12"/>
  <c r="Q28" i="12"/>
  <c r="P28" i="12"/>
  <c r="O28" i="12"/>
  <c r="N28" i="12"/>
  <c r="M28" i="12"/>
  <c r="L28" i="12"/>
  <c r="K28" i="12"/>
  <c r="J28" i="12"/>
  <c r="I28" i="12"/>
  <c r="H28" i="12"/>
  <c r="W27" i="12"/>
  <c r="Y27" i="12" s="1"/>
  <c r="E27" i="12"/>
  <c r="W26" i="12"/>
  <c r="Y26" i="12" s="1"/>
  <c r="E26" i="12"/>
  <c r="W25" i="12"/>
  <c r="W24" i="12"/>
  <c r="X24" i="12" s="1"/>
  <c r="W23" i="12"/>
  <c r="Y23" i="12" s="1"/>
  <c r="W22" i="12"/>
  <c r="Y22" i="12" s="1"/>
  <c r="W21" i="12"/>
  <c r="Y21" i="12" s="1"/>
  <c r="W20" i="12"/>
  <c r="I19" i="12"/>
  <c r="J19" i="12" s="1"/>
  <c r="K19" i="12" s="1"/>
  <c r="L19" i="12" s="1"/>
  <c r="M19" i="12" s="1"/>
  <c r="N19" i="12" s="1"/>
  <c r="O19" i="12" s="1"/>
  <c r="P19" i="12" s="1"/>
  <c r="Q19" i="12" s="1"/>
  <c r="R19" i="12" s="1"/>
  <c r="S19" i="12" s="1"/>
  <c r="T19" i="12" s="1"/>
  <c r="U19" i="12" s="1"/>
  <c r="V19" i="12" s="1"/>
  <c r="W27" i="7"/>
  <c r="W26" i="7"/>
  <c r="I29" i="7"/>
  <c r="J29" i="7"/>
  <c r="K29" i="7"/>
  <c r="L29" i="7"/>
  <c r="M29" i="7"/>
  <c r="N29" i="7"/>
  <c r="O29" i="7"/>
  <c r="P29" i="7"/>
  <c r="Q29" i="7"/>
  <c r="R29" i="7"/>
  <c r="S29" i="7"/>
  <c r="T29" i="7"/>
  <c r="U29" i="7"/>
  <c r="V29" i="7"/>
  <c r="H29" i="7"/>
  <c r="I28" i="7"/>
  <c r="J28" i="7"/>
  <c r="K28" i="7"/>
  <c r="L28" i="7"/>
  <c r="M28" i="7"/>
  <c r="N28" i="7"/>
  <c r="O28" i="7"/>
  <c r="P28" i="7"/>
  <c r="Q28" i="7"/>
  <c r="R28" i="7"/>
  <c r="S28" i="7"/>
  <c r="T28" i="7"/>
  <c r="U28" i="7"/>
  <c r="V28" i="7"/>
  <c r="H28" i="7"/>
  <c r="D37" i="7"/>
  <c r="P30" i="12" l="1"/>
  <c r="I30" i="12"/>
  <c r="H30" i="12"/>
  <c r="Q30" i="12"/>
  <c r="U30" i="12"/>
  <c r="M30" i="12"/>
  <c r="J30" i="12"/>
  <c r="R30" i="12"/>
  <c r="W28" i="12"/>
  <c r="W30" i="12" s="1"/>
  <c r="N30" i="12"/>
  <c r="V30" i="12"/>
  <c r="O30" i="12"/>
  <c r="Y24" i="12"/>
  <c r="W29" i="12"/>
  <c r="L30" i="12"/>
  <c r="T30" i="12"/>
  <c r="X25" i="12"/>
  <c r="X20" i="12"/>
  <c r="Y20" i="12"/>
  <c r="X22" i="12"/>
  <c r="X27" i="12"/>
  <c r="Y25" i="12"/>
  <c r="X23" i="12"/>
  <c r="X21" i="12"/>
  <c r="X26" i="12"/>
  <c r="Y29" i="12" l="1"/>
  <c r="X28" i="12"/>
  <c r="Y28" i="12"/>
  <c r="Y30" i="12" s="1"/>
  <c r="Y31" i="12" s="1"/>
  <c r="X29" i="12"/>
  <c r="X30" i="12" l="1"/>
  <c r="X31" i="12" s="1"/>
  <c r="X32" i="12"/>
  <c r="U30" i="7" l="1"/>
  <c r="E27" i="7"/>
  <c r="E26" i="7"/>
  <c r="I19" i="7"/>
  <c r="W20" i="7"/>
  <c r="X20" i="7" s="1"/>
  <c r="T30" i="7" l="1"/>
  <c r="N30" i="7"/>
  <c r="V30" i="7"/>
  <c r="O30" i="7"/>
  <c r="M30" i="7"/>
  <c r="L30" i="7"/>
  <c r="Y20" i="7"/>
  <c r="E44" i="7"/>
  <c r="J19" i="7"/>
  <c r="K19" i="7" l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Y27" i="7"/>
  <c r="X26" i="7"/>
  <c r="W25" i="7"/>
  <c r="Y25" i="7" s="1"/>
  <c r="W24" i="7"/>
  <c r="W23" i="7"/>
  <c r="Y23" i="7" s="1"/>
  <c r="W22" i="7"/>
  <c r="Y22" i="7" s="1"/>
  <c r="W21" i="7"/>
  <c r="Y21" i="7" s="1"/>
  <c r="Y24" i="7" l="1"/>
  <c r="W29" i="7"/>
  <c r="S30" i="7"/>
  <c r="P30" i="7"/>
  <c r="H30" i="7"/>
  <c r="R30" i="7"/>
  <c r="J30" i="7"/>
  <c r="I30" i="7"/>
  <c r="K30" i="7"/>
  <c r="Q30" i="7"/>
  <c r="W28" i="7"/>
  <c r="X24" i="7"/>
  <c r="X22" i="7"/>
  <c r="X25" i="7"/>
  <c r="X23" i="7"/>
  <c r="X21" i="7"/>
  <c r="Y26" i="7"/>
  <c r="X27" i="7"/>
  <c r="W30" i="7" l="1"/>
  <c r="Y29" i="7"/>
  <c r="X29" i="7"/>
  <c r="X28" i="7"/>
  <c r="Y28" i="7"/>
  <c r="Y30" i="7" s="1"/>
  <c r="Y31" i="7" s="1"/>
  <c r="X30" i="7" l="1"/>
  <c r="X31" i="7" s="1"/>
  <c r="X32" i="7" s="1"/>
</calcChain>
</file>

<file path=xl/sharedStrings.xml><?xml version="1.0" encoding="utf-8"?>
<sst xmlns="http://schemas.openxmlformats.org/spreadsheetml/2006/main" count="147" uniqueCount="68">
  <si>
    <t>Contact</t>
  </si>
  <si>
    <t>Email</t>
  </si>
  <si>
    <t>Daypart</t>
  </si>
  <si>
    <t>Language</t>
  </si>
  <si>
    <t>Mandarin News</t>
  </si>
  <si>
    <t>M-F 7p-8p</t>
  </si>
  <si>
    <t>Cantonese News</t>
  </si>
  <si>
    <t>Vietnamese News /Variety</t>
  </si>
  <si>
    <t>Filipino</t>
  </si>
  <si>
    <t xml:space="preserve">Vietnamese </t>
  </si>
  <si>
    <t>ROS</t>
  </si>
  <si>
    <t>Station</t>
  </si>
  <si>
    <t>Crossings TV</t>
  </si>
  <si>
    <t>Languages</t>
  </si>
  <si>
    <t>Cantonese</t>
  </si>
  <si>
    <t>Mandarin</t>
  </si>
  <si>
    <t>Crossings TV:  BAAQMD</t>
  </si>
  <si>
    <t>Agency</t>
  </si>
  <si>
    <t>Advertiser</t>
  </si>
  <si>
    <t>Total Spots</t>
  </si>
  <si>
    <t>M-Sun 11a-1p</t>
  </si>
  <si>
    <t>Filipino News/Talk</t>
  </si>
  <si>
    <t>M-F 6p-7p</t>
  </si>
  <si>
    <t xml:space="preserve">Discounted </t>
  </si>
  <si>
    <t>M-Sun  8p-9p</t>
  </si>
  <si>
    <t>Total</t>
  </si>
  <si>
    <t>Cantonese, Mandarin, Tagalog,  Vietnamese</t>
  </si>
  <si>
    <t>Estimated Impressions</t>
  </si>
  <si>
    <t>Chinese</t>
  </si>
  <si>
    <t>Vietnamese</t>
  </si>
  <si>
    <t>Bay Area Quality Management District</t>
  </si>
  <si>
    <t>Digital Banner Ad- Added value</t>
  </si>
  <si>
    <t>during the campaign period.</t>
  </si>
  <si>
    <t>Total Paid</t>
  </si>
  <si>
    <t>Total Bonuses</t>
  </si>
  <si>
    <t>Total (Paid+Bonuses)</t>
  </si>
  <si>
    <t xml:space="preserve">Crossings TV will place  a banner ad for Bay Area AQMD; </t>
  </si>
  <si>
    <t>Approved by</t>
  </si>
  <si>
    <t>Thank you and we appreciate your partnership.</t>
  </si>
  <si>
    <t>Length</t>
  </si>
  <si>
    <t>:30s</t>
  </si>
  <si>
    <t>:15s</t>
  </si>
  <si>
    <t xml:space="preserve">San Francisco Bay Area - Xfinity Channel 3131 and KQTA 15.3                                                                 </t>
  </si>
  <si>
    <t xml:space="preserve">Total  Value </t>
  </si>
  <si>
    <t>Payment Terms</t>
  </si>
  <si>
    <t>Target Audience</t>
  </si>
  <si>
    <t>Retail Value( :30seconds TVC)</t>
  </si>
  <si>
    <t>Retail Value   (:15seconds TVC)</t>
  </si>
  <si>
    <t>Total Value</t>
  </si>
  <si>
    <t>Total Amount of Contract</t>
  </si>
  <si>
    <t>Translation services:   New Creative for 2026</t>
  </si>
  <si>
    <t xml:space="preserve">Crossings TV will provide in-language translation services for your new TV commercials </t>
  </si>
  <si>
    <t>Languages includes Mandarin, Cantonese, Vietnamese and Tagalog</t>
  </si>
  <si>
    <t>alexander.boyle@crispin.com</t>
  </si>
  <si>
    <t>Alexander Boyle</t>
  </si>
  <si>
    <t>NET 90 DAYS,  Crossings TV will invoice monthly over the course of the campaign</t>
  </si>
  <si>
    <t>NEW CREATIVE</t>
  </si>
  <si>
    <t xml:space="preserve">  AIRTIME - Weekly Schedule -</t>
  </si>
  <si>
    <t>estimated start week of  11/10/ 2026</t>
  </si>
  <si>
    <t xml:space="preserve">Unit Value                                                  ( standard rate card ) Gross 
</t>
  </si>
  <si>
    <t>Discounted Rate Gross</t>
  </si>
  <si>
    <t>Discount Rate</t>
  </si>
  <si>
    <t>CRISPIN</t>
  </si>
  <si>
    <t>GROSS Proposed Contract Amount</t>
  </si>
  <si>
    <t>DATE</t>
  </si>
  <si>
    <t>RE-USE CREATIVE</t>
  </si>
  <si>
    <t>NET</t>
  </si>
  <si>
    <t>GROSS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</si>
</sst>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5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Century Gothic"/>
      <family val="2"/>
    </font>
    <font>
      <sz val="12"/>
      <color theme="1"/>
      <name val="Century Gothic"/>
      <family val="2"/>
    </font>
    <font>
      <sz val="14"/>
      <color theme="1"/>
      <name val="Century Gothic"/>
      <family val="2"/>
    </font>
    <font>
      <b/>
      <sz val="14"/>
      <color theme="1"/>
      <name val="Century Gothic"/>
      <family val="2"/>
    </font>
    <font>
      <sz val="16"/>
      <color theme="1"/>
      <name val="Century Gothic"/>
      <family val="2"/>
    </font>
    <font>
      <b/>
      <i/>
      <sz val="16"/>
      <color rgb="FFFF0000"/>
      <name val="Century Gothic"/>
      <family val="2"/>
    </font>
    <font>
      <b/>
      <sz val="16"/>
      <color rgb="FFFF0000"/>
      <name val="Century Gothic"/>
      <family val="2"/>
    </font>
    <font>
      <b/>
      <sz val="16"/>
      <color rgb="FF00B0F0"/>
      <name val="Century Gothic"/>
      <family val="2"/>
    </font>
    <font>
      <b/>
      <i/>
      <sz val="16"/>
      <color theme="1"/>
      <name val="Century Gothic"/>
      <family val="2"/>
    </font>
    <font>
      <i/>
      <sz val="16"/>
      <color theme="1"/>
      <name val="Century Gothic"/>
      <family val="2"/>
    </font>
    <font>
      <sz val="12"/>
      <color theme="1"/>
      <name val="Calibri"/>
      <family val="2"/>
    </font>
    <font>
      <b/>
      <sz val="12"/>
      <color indexed="8"/>
      <name val="Aptos Narrow"/>
      <family val="2"/>
    </font>
    <font>
      <sz val="12"/>
      <color theme="1"/>
      <name val="Aptos Narrow"/>
      <family val="2"/>
    </font>
    <font>
      <sz val="12"/>
      <name val="Aptos Narrow"/>
      <family val="2"/>
    </font>
    <font>
      <u/>
      <sz val="12"/>
      <name val="Aptos Narrow"/>
      <family val="2"/>
    </font>
    <font>
      <u/>
      <sz val="12"/>
      <color theme="10"/>
      <name val="Aptos Narrow"/>
      <family val="2"/>
    </font>
    <font>
      <sz val="11"/>
      <color theme="1"/>
      <name val="Aptos Narrow"/>
      <family val="2"/>
    </font>
    <font>
      <b/>
      <sz val="10"/>
      <color indexed="8"/>
      <name val="Aptos Narrow"/>
      <family val="2"/>
    </font>
    <font>
      <sz val="10"/>
      <color theme="1"/>
      <name val="Aptos Narrow"/>
      <family val="2"/>
    </font>
    <font>
      <b/>
      <i/>
      <sz val="16"/>
      <color theme="1"/>
      <name val="Aptos Narrow"/>
      <family val="2"/>
    </font>
    <font>
      <b/>
      <u/>
      <sz val="16"/>
      <color indexed="8"/>
      <name val="Aptos Narrow"/>
      <family val="2"/>
    </font>
    <font>
      <sz val="16"/>
      <color theme="1"/>
      <name val="Aptos Narrow"/>
      <family val="2"/>
    </font>
    <font>
      <b/>
      <sz val="16"/>
      <color rgb="FF3399FF"/>
      <name val="Aptos Narrow"/>
      <family val="2"/>
    </font>
    <font>
      <b/>
      <sz val="9"/>
      <color rgb="FF3399FF"/>
      <name val="Aptos Narrow"/>
      <family val="2"/>
    </font>
    <font>
      <b/>
      <sz val="12"/>
      <name val="Aptos Narrow"/>
      <family val="2"/>
    </font>
    <font>
      <b/>
      <sz val="9"/>
      <name val="Aptos Narrow"/>
      <family val="2"/>
    </font>
    <font>
      <sz val="12"/>
      <color theme="1" tint="0.499984740745262"/>
      <name val="Aptos Narrow"/>
      <family val="2"/>
    </font>
    <font>
      <b/>
      <sz val="12"/>
      <color rgb="FFFF0000"/>
      <name val="Aptos Narrow"/>
      <family val="2"/>
    </font>
    <font>
      <b/>
      <sz val="14"/>
      <name val="Aptos Narrow"/>
      <family val="2"/>
    </font>
    <font>
      <sz val="14"/>
      <color theme="1" tint="0.499984740745262"/>
      <name val="Aptos Narrow"/>
      <family val="2"/>
    </font>
    <font>
      <b/>
      <sz val="14"/>
      <color theme="1"/>
      <name val="Aptos Narrow"/>
      <family val="2"/>
    </font>
    <font>
      <sz val="14"/>
      <color theme="1"/>
      <name val="Aptos Narrow"/>
      <family val="2"/>
    </font>
    <font>
      <b/>
      <sz val="16"/>
      <color theme="0"/>
      <name val="Aptos Narrow"/>
      <family val="2"/>
    </font>
    <font>
      <b/>
      <i/>
      <sz val="14"/>
      <color theme="1"/>
      <name val="Aptos Narrow"/>
      <family val="2"/>
    </font>
    <font>
      <b/>
      <i/>
      <sz val="14"/>
      <color rgb="FFFF0000"/>
      <name val="Aptos Narrow"/>
      <family val="2"/>
    </font>
    <font>
      <b/>
      <i/>
      <sz val="18"/>
      <color theme="1"/>
      <name val="Aptos Narrow"/>
      <family val="2"/>
    </font>
    <font>
      <b/>
      <i/>
      <sz val="12"/>
      <name val="Aptos Narrow"/>
      <family val="2"/>
    </font>
    <font>
      <b/>
      <sz val="14"/>
      <color rgb="FFFF0000"/>
      <name val="Aptos Narrow"/>
      <family val="2"/>
    </font>
    <font>
      <b/>
      <i/>
      <sz val="14"/>
      <name val="Aptos Narrow"/>
      <family val="2"/>
    </font>
    <font>
      <b/>
      <i/>
      <sz val="16"/>
      <name val="Aptos Narrow"/>
      <family val="2"/>
    </font>
    <font>
      <sz val="14"/>
      <name val="Aptos Narrow"/>
      <family val="2"/>
    </font>
    <font>
      <b/>
      <i/>
      <sz val="16"/>
      <color rgb="FFC00000"/>
      <name val="Aptos Narrow"/>
      <family val="2"/>
    </font>
    <font>
      <i/>
      <sz val="14"/>
      <color theme="1" tint="0.499984740745262"/>
      <name val="Aptos Narrow"/>
      <family val="2"/>
    </font>
    <font>
      <sz val="18"/>
      <color theme="1"/>
      <name val="Aptos Narrow"/>
      <family val="2"/>
    </font>
    <font>
      <b/>
      <i/>
      <sz val="16"/>
      <color theme="1" tint="0.34998626667073579"/>
      <name val="Century Gothic"/>
      <family val="2"/>
    </font>
    <font>
      <b/>
      <i/>
      <sz val="14"/>
      <color theme="1" tint="0.34998626667073579"/>
      <name val="Aptos Narrow"/>
      <family val="2"/>
    </font>
    <font>
      <b/>
      <i/>
      <sz val="12"/>
      <color theme="1" tint="0.34998626667073579"/>
      <name val="Aptos Narrow"/>
      <family val="2"/>
    </font>
    <font>
      <b/>
      <i/>
      <sz val="16"/>
      <color theme="1" tint="0.34998626667073579"/>
      <name val="Aptos Narrow"/>
      <family val="2"/>
    </font>
    <font>
      <b/>
      <sz val="18"/>
      <color theme="1"/>
      <name val="Aptos Narrow"/>
      <family val="2"/>
    </font>
    <font>
      <b/>
      <sz val="18"/>
      <color theme="1"/>
      <name val="Calibri"/>
      <family val="2"/>
    </font>
    <font>
      <b/>
      <sz val="12"/>
      <color theme="1"/>
      <name val="Century Gothic"/>
      <family val="2"/>
    </font>
    <font>
      <b/>
      <i/>
      <sz val="20"/>
      <color theme="1"/>
      <name val="Aptos Narrow"/>
      <family val="2"/>
    </font>
    <font>
      <sz val="20"/>
      <color theme="1"/>
      <name val="Aptos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right" vertical="center"/>
    </xf>
    <xf numFmtId="0" fontId="8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15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2" applyFont="1" applyBorder="1" applyAlignment="1" applyProtection="1">
      <alignment vertical="center"/>
    </xf>
    <xf numFmtId="0" fontId="18" fillId="0" borderId="0" xfId="2" applyFont="1" applyBorder="1" applyAlignment="1" applyProtection="1">
      <alignment horizontal="center" vertical="center"/>
    </xf>
    <xf numFmtId="0" fontId="18" fillId="0" borderId="0" xfId="2" applyFont="1" applyBorder="1" applyAlignment="1" applyProtection="1">
      <alignment vertical="center"/>
    </xf>
    <xf numFmtId="0" fontId="16" fillId="0" borderId="0" xfId="2" applyFont="1" applyBorder="1" applyAlignment="1" applyProtection="1">
      <alignment vertical="center"/>
    </xf>
    <xf numFmtId="16" fontId="15" fillId="0" borderId="0" xfId="0" applyNumberFormat="1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0" fontId="22" fillId="0" borderId="0" xfId="0" applyFont="1" applyAlignment="1">
      <alignment horizontal="left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16" fontId="26" fillId="0" borderId="0" xfId="0" applyNumberFormat="1" applyFont="1" applyAlignment="1">
      <alignment horizontal="center" vertical="center" wrapText="1"/>
    </xf>
    <xf numFmtId="44" fontId="27" fillId="0" borderId="7" xfId="1" applyFont="1" applyFill="1" applyBorder="1" applyAlignment="1">
      <alignment horizontal="center" wrapText="1"/>
    </xf>
    <xf numFmtId="44" fontId="27" fillId="0" borderId="0" xfId="1" applyFont="1" applyFill="1" applyBorder="1" applyAlignment="1">
      <alignment horizontal="center" wrapText="1"/>
    </xf>
    <xf numFmtId="44" fontId="27" fillId="0" borderId="5" xfId="1" applyFont="1" applyFill="1" applyBorder="1" applyAlignment="1">
      <alignment horizontal="center" wrapText="1"/>
    </xf>
    <xf numFmtId="44" fontId="29" fillId="4" borderId="2" xfId="1" applyFont="1" applyFill="1" applyBorder="1" applyAlignment="1">
      <alignment horizontal="center" vertical="center" wrapText="1"/>
    </xf>
    <xf numFmtId="44" fontId="27" fillId="0" borderId="2" xfId="1" applyFont="1" applyFill="1" applyBorder="1" applyAlignment="1">
      <alignment horizontal="center" wrapText="1"/>
    </xf>
    <xf numFmtId="44" fontId="16" fillId="0" borderId="2" xfId="1" applyFont="1" applyFill="1" applyBorder="1" applyAlignment="1">
      <alignment horizontal="center" wrapText="1"/>
    </xf>
    <xf numFmtId="44" fontId="15" fillId="0" borderId="2" xfId="1" applyFont="1" applyFill="1" applyBorder="1" applyAlignment="1"/>
    <xf numFmtId="44" fontId="16" fillId="0" borderId="3" xfId="1" applyFont="1" applyFill="1" applyBorder="1" applyAlignment="1"/>
    <xf numFmtId="0" fontId="30" fillId="0" borderId="2" xfId="1" applyNumberFormat="1" applyFont="1" applyFill="1" applyBorder="1" applyAlignment="1">
      <alignment horizontal="center"/>
    </xf>
    <xf numFmtId="164" fontId="15" fillId="0" borderId="6" xfId="3" applyNumberFormat="1" applyFont="1" applyFill="1" applyBorder="1" applyAlignment="1"/>
    <xf numFmtId="44" fontId="29" fillId="4" borderId="2" xfId="1" applyFont="1" applyFill="1" applyBorder="1" applyAlignment="1"/>
    <xf numFmtId="44" fontId="27" fillId="0" borderId="2" xfId="1" applyFont="1" applyFill="1" applyBorder="1" applyAlignment="1">
      <alignment horizontal="left"/>
    </xf>
    <xf numFmtId="44" fontId="29" fillId="4" borderId="8" xfId="1" applyFont="1" applyFill="1" applyBorder="1" applyAlignment="1"/>
    <xf numFmtId="44" fontId="27" fillId="0" borderId="8" xfId="1" applyFont="1" applyFill="1" applyBorder="1" applyAlignment="1">
      <alignment horizontal="left"/>
    </xf>
    <xf numFmtId="0" fontId="34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5" fillId="3" borderId="5" xfId="0" applyFont="1" applyFill="1" applyBorder="1" applyAlignment="1">
      <alignment horizontal="center" vertical="center"/>
    </xf>
    <xf numFmtId="0" fontId="33" fillId="0" borderId="1" xfId="0" applyFont="1" applyBorder="1" applyAlignment="1">
      <alignment horizontal="center" vertical="center"/>
    </xf>
    <xf numFmtId="0" fontId="34" fillId="0" borderId="1" xfId="0" applyFont="1" applyBorder="1" applyAlignment="1">
      <alignment vertical="center"/>
    </xf>
    <xf numFmtId="0" fontId="38" fillId="5" borderId="0" xfId="0" applyFont="1" applyFill="1"/>
    <xf numFmtId="0" fontId="30" fillId="0" borderId="0" xfId="1" applyNumberFormat="1" applyFont="1" applyFill="1" applyBorder="1" applyAlignment="1">
      <alignment horizontal="center" vertical="center"/>
    </xf>
    <xf numFmtId="164" fontId="15" fillId="0" borderId="0" xfId="3" applyNumberFormat="1" applyFont="1" applyFill="1" applyBorder="1" applyAlignment="1">
      <alignment vertical="center"/>
    </xf>
    <xf numFmtId="44" fontId="39" fillId="0" borderId="0" xfId="1" applyFont="1" applyFill="1" applyBorder="1" applyAlignment="1">
      <alignment horizontal="left"/>
    </xf>
    <xf numFmtId="0" fontId="36" fillId="0" borderId="0" xfId="0" applyFont="1" applyAlignment="1">
      <alignment horizontal="left"/>
    </xf>
    <xf numFmtId="0" fontId="19" fillId="0" borderId="0" xfId="0" applyFont="1" applyAlignment="1">
      <alignment horizontal="center" vertical="center"/>
    </xf>
    <xf numFmtId="0" fontId="33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44" fontId="30" fillId="0" borderId="2" xfId="1" applyFont="1" applyFill="1" applyBorder="1" applyAlignment="1">
      <alignment horizontal="center" vertical="center" wrapText="1"/>
    </xf>
    <xf numFmtId="0" fontId="33" fillId="0" borderId="1" xfId="0" applyFont="1" applyBorder="1"/>
    <xf numFmtId="0" fontId="15" fillId="0" borderId="0" xfId="0" applyFont="1" applyAlignment="1">
      <alignment wrapText="1"/>
    </xf>
    <xf numFmtId="44" fontId="42" fillId="0" borderId="0" xfId="1" applyFont="1" applyFill="1" applyBorder="1" applyAlignment="1">
      <alignment horizontal="left"/>
    </xf>
    <xf numFmtId="44" fontId="42" fillId="0" borderId="0" xfId="1" applyFont="1" applyFill="1" applyBorder="1" applyAlignment="1">
      <alignment horizontal="right"/>
    </xf>
    <xf numFmtId="0" fontId="43" fillId="0" borderId="0" xfId="0" applyFont="1" applyAlignment="1">
      <alignment horizontal="center" vertical="center"/>
    </xf>
    <xf numFmtId="10" fontId="41" fillId="0" borderId="0" xfId="3" applyNumberFormat="1" applyFont="1" applyBorder="1" applyAlignment="1">
      <alignment horizontal="left" vertical="center"/>
    </xf>
    <xf numFmtId="44" fontId="44" fillId="2" borderId="0" xfId="1" applyFont="1" applyFill="1" applyBorder="1" applyAlignment="1">
      <alignment horizontal="right"/>
    </xf>
    <xf numFmtId="44" fontId="44" fillId="2" borderId="0" xfId="1" applyFont="1" applyFill="1" applyBorder="1" applyAlignment="1">
      <alignment horizontal="left"/>
    </xf>
    <xf numFmtId="44" fontId="32" fillId="4" borderId="2" xfId="1" applyFont="1" applyFill="1" applyBorder="1" applyAlignment="1"/>
    <xf numFmtId="44" fontId="33" fillId="0" borderId="2" xfId="1" applyFont="1" applyFill="1" applyBorder="1" applyAlignment="1">
      <alignment horizontal="left"/>
    </xf>
    <xf numFmtId="44" fontId="32" fillId="4" borderId="8" xfId="1" applyFont="1" applyFill="1" applyBorder="1" applyAlignment="1">
      <alignment horizontal="right" wrapText="1"/>
    </xf>
    <xf numFmtId="44" fontId="31" fillId="0" borderId="8" xfId="1" applyFont="1" applyFill="1" applyBorder="1" applyAlignment="1">
      <alignment horizontal="left" wrapText="1"/>
    </xf>
    <xf numFmtId="44" fontId="32" fillId="4" borderId="2" xfId="1" applyFont="1" applyFill="1" applyBorder="1" applyAlignment="1">
      <alignment horizontal="right" wrapText="1"/>
    </xf>
    <xf numFmtId="44" fontId="40" fillId="0" borderId="2" xfId="1" applyFont="1" applyFill="1" applyBorder="1" applyAlignment="1">
      <alignment horizontal="left" wrapText="1"/>
    </xf>
    <xf numFmtId="44" fontId="45" fillId="8" borderId="2" xfId="1" applyFont="1" applyFill="1" applyBorder="1" applyAlignment="1">
      <alignment horizontal="right" vertical="center" wrapText="1"/>
    </xf>
    <xf numFmtId="44" fontId="37" fillId="8" borderId="2" xfId="1" applyFont="1" applyFill="1" applyBorder="1" applyAlignment="1">
      <alignment horizontal="left" vertical="center" wrapText="1"/>
    </xf>
    <xf numFmtId="3" fontId="13" fillId="0" borderId="0" xfId="0" applyNumberFormat="1" applyFont="1" applyAlignment="1">
      <alignment horizontal="center" vertical="center"/>
    </xf>
    <xf numFmtId="0" fontId="15" fillId="0" borderId="2" xfId="0" applyFont="1" applyBorder="1" applyAlignment="1">
      <alignment horizontal="center"/>
    </xf>
    <xf numFmtId="0" fontId="46" fillId="5" borderId="0" xfId="0" applyFont="1" applyFill="1" applyAlignment="1">
      <alignment vertical="center"/>
    </xf>
    <xf numFmtId="0" fontId="46" fillId="5" borderId="0" xfId="0" applyFont="1" applyFill="1" applyAlignment="1">
      <alignment horizontal="center" vertical="center"/>
    </xf>
    <xf numFmtId="0" fontId="47" fillId="0" borderId="0" xfId="0" applyFont="1" applyAlignment="1">
      <alignment horizontal="left" vertical="center"/>
    </xf>
    <xf numFmtId="44" fontId="48" fillId="0" borderId="0" xfId="1" applyFont="1" applyBorder="1" applyAlignment="1">
      <alignment horizontal="left"/>
    </xf>
    <xf numFmtId="44" fontId="49" fillId="0" borderId="0" xfId="1" applyFont="1" applyFill="1" applyBorder="1" applyAlignment="1">
      <alignment horizontal="left"/>
    </xf>
    <xf numFmtId="44" fontId="50" fillId="0" borderId="0" xfId="1" applyFont="1" applyFill="1" applyBorder="1" applyAlignment="1">
      <alignment horizontal="right"/>
    </xf>
    <xf numFmtId="44" fontId="50" fillId="0" borderId="0" xfId="1" applyFont="1" applyFill="1" applyBorder="1" applyAlignment="1">
      <alignment horizontal="left"/>
    </xf>
    <xf numFmtId="0" fontId="51" fillId="0" borderId="2" xfId="0" applyFont="1" applyBorder="1" applyAlignment="1">
      <alignment horizontal="center"/>
    </xf>
    <xf numFmtId="44" fontId="27" fillId="7" borderId="2" xfId="1" applyFont="1" applyFill="1" applyBorder="1" applyAlignment="1">
      <alignment horizontal="center" wrapText="1"/>
    </xf>
    <xf numFmtId="16" fontId="28" fillId="6" borderId="2" xfId="0" applyNumberFormat="1" applyFont="1" applyFill="1" applyBorder="1" applyAlignment="1">
      <alignment horizontal="center" wrapText="1"/>
    </xf>
    <xf numFmtId="44" fontId="16" fillId="0" borderId="2" xfId="1" applyFont="1" applyFill="1" applyBorder="1" applyAlignment="1">
      <alignment horizontal="center"/>
    </xf>
    <xf numFmtId="164" fontId="31" fillId="0" borderId="6" xfId="3" applyNumberFormat="1" applyFont="1" applyFill="1" applyBorder="1" applyAlignment="1">
      <alignment wrapText="1"/>
    </xf>
    <xf numFmtId="0" fontId="15" fillId="0" borderId="14" xfId="0" applyFont="1" applyBorder="1" applyAlignment="1">
      <alignment horizontal="left" vertical="center"/>
    </xf>
    <xf numFmtId="0" fontId="15" fillId="0" borderId="9" xfId="0" applyFont="1" applyBorder="1" applyAlignment="1">
      <alignment horizontal="left" vertical="center"/>
    </xf>
    <xf numFmtId="0" fontId="15" fillId="0" borderId="9" xfId="0" applyFont="1" applyBorder="1" applyAlignment="1">
      <alignment horizontal="center" vertical="center"/>
    </xf>
    <xf numFmtId="0" fontId="15" fillId="0" borderId="10" xfId="0" applyFont="1" applyBorder="1" applyAlignment="1">
      <alignment horizontal="left" vertical="center"/>
    </xf>
    <xf numFmtId="0" fontId="16" fillId="0" borderId="5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5" fillId="0" borderId="15" xfId="0" applyFont="1" applyBorder="1" applyAlignment="1">
      <alignment horizontal="left" vertical="center"/>
    </xf>
    <xf numFmtId="0" fontId="16" fillId="0" borderId="0" xfId="0" applyFont="1" applyAlignment="1">
      <alignment vertical="center"/>
    </xf>
    <xf numFmtId="0" fontId="15" fillId="0" borderId="15" xfId="0" applyFont="1" applyBorder="1" applyAlignment="1">
      <alignment vertical="center"/>
    </xf>
    <xf numFmtId="0" fontId="2" fillId="0" borderId="5" xfId="2" applyBorder="1" applyAlignment="1" applyProtection="1"/>
    <xf numFmtId="0" fontId="18" fillId="0" borderId="15" xfId="2" applyFont="1" applyBorder="1" applyAlignment="1" applyProtection="1">
      <alignment vertical="center"/>
    </xf>
    <xf numFmtId="0" fontId="16" fillId="0" borderId="5" xfId="2" applyFont="1" applyBorder="1" applyAlignment="1" applyProtection="1">
      <alignment vertical="center"/>
    </xf>
    <xf numFmtId="0" fontId="16" fillId="0" borderId="11" xfId="0" applyFont="1" applyBorder="1" applyAlignment="1">
      <alignment vertical="center"/>
    </xf>
    <xf numFmtId="0" fontId="15" fillId="0" borderId="11" xfId="0" applyFont="1" applyBorder="1" applyAlignment="1">
      <alignment horizontal="center" vertical="center"/>
    </xf>
    <xf numFmtId="0" fontId="15" fillId="0" borderId="13" xfId="0" applyFont="1" applyBorder="1" applyAlignment="1">
      <alignment vertical="center"/>
    </xf>
    <xf numFmtId="14" fontId="16" fillId="0" borderId="12" xfId="0" applyNumberFormat="1" applyFont="1" applyBorder="1" applyAlignment="1">
      <alignment horizontal="left" vertical="center"/>
    </xf>
    <xf numFmtId="0" fontId="14" fillId="0" borderId="8" xfId="0" applyFont="1" applyBorder="1" applyAlignment="1">
      <alignment vertical="center"/>
    </xf>
    <xf numFmtId="0" fontId="14" fillId="0" borderId="7" xfId="0" applyFont="1" applyBorder="1" applyAlignment="1">
      <alignment vertical="center"/>
    </xf>
    <xf numFmtId="0" fontId="22" fillId="4" borderId="0" xfId="0" applyFont="1" applyFill="1"/>
    <xf numFmtId="0" fontId="12" fillId="4" borderId="0" xfId="0" applyFont="1" applyFill="1"/>
    <xf numFmtId="0" fontId="33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31" fillId="0" borderId="2" xfId="3" applyNumberFormat="1" applyFont="1" applyFill="1" applyBorder="1" applyAlignment="1">
      <alignment horizontal="center" wrapText="1"/>
    </xf>
    <xf numFmtId="164" fontId="40" fillId="0" borderId="6" xfId="3" applyNumberFormat="1" applyFont="1" applyFill="1" applyBorder="1" applyAlignment="1">
      <alignment wrapText="1"/>
    </xf>
    <xf numFmtId="0" fontId="40" fillId="0" borderId="2" xfId="3" applyNumberFormat="1" applyFont="1" applyFill="1" applyBorder="1" applyAlignment="1">
      <alignment horizontal="center" wrapText="1"/>
    </xf>
    <xf numFmtId="0" fontId="30" fillId="2" borderId="16" xfId="0" applyFont="1" applyFill="1" applyBorder="1" applyAlignment="1">
      <alignment vertical="center"/>
    </xf>
    <xf numFmtId="0" fontId="33" fillId="0" borderId="0" xfId="0" applyFont="1" applyAlignment="1">
      <alignment horizontal="right"/>
    </xf>
    <xf numFmtId="44" fontId="27" fillId="0" borderId="2" xfId="1" applyFont="1" applyFill="1" applyBorder="1" applyAlignment="1">
      <alignment vertical="center" wrapText="1"/>
    </xf>
    <xf numFmtId="0" fontId="30" fillId="0" borderId="0" xfId="1" applyNumberFormat="1" applyFont="1" applyFill="1" applyBorder="1" applyAlignment="1">
      <alignment vertical="center"/>
    </xf>
    <xf numFmtId="9" fontId="34" fillId="9" borderId="2" xfId="4" applyFont="1" applyFill="1" applyBorder="1" applyAlignment="1">
      <alignment horizontal="center"/>
    </xf>
    <xf numFmtId="0" fontId="35" fillId="3" borderId="11" xfId="0" applyFont="1" applyFill="1" applyBorder="1" applyAlignment="1">
      <alignment horizontal="center" vertical="center"/>
    </xf>
    <xf numFmtId="16" fontId="26" fillId="0" borderId="12" xfId="0" applyNumberFormat="1" applyFont="1" applyBorder="1" applyAlignment="1">
      <alignment horizontal="center" vertical="center" wrapText="1"/>
    </xf>
    <xf numFmtId="16" fontId="26" fillId="0" borderId="11" xfId="0" applyNumberFormat="1" applyFont="1" applyBorder="1" applyAlignment="1">
      <alignment horizontal="center" vertical="center" wrapText="1"/>
    </xf>
    <xf numFmtId="0" fontId="25" fillId="0" borderId="2" xfId="0" applyFont="1" applyBorder="1" applyAlignment="1">
      <alignment horizontal="center" wrapText="1"/>
    </xf>
    <xf numFmtId="0" fontId="33" fillId="0" borderId="0" xfId="0" applyFont="1" applyAlignment="1">
      <alignment horizontal="right"/>
    </xf>
    <xf numFmtId="43" fontId="31" fillId="0" borderId="2" xfId="3" applyFont="1" applyFill="1" applyBorder="1" applyAlignment="1">
      <alignment horizontal="right" wrapText="1"/>
    </xf>
    <xf numFmtId="43" fontId="40" fillId="0" borderId="2" xfId="3" applyFont="1" applyFill="1" applyBorder="1" applyAlignment="1">
      <alignment horizontal="right" wrapText="1"/>
    </xf>
    <xf numFmtId="43" fontId="37" fillId="8" borderId="3" xfId="3" applyFont="1" applyFill="1" applyBorder="1" applyAlignment="1">
      <alignment horizontal="right" vertical="center" wrapText="1"/>
    </xf>
    <xf numFmtId="43" fontId="37" fillId="8" borderId="4" xfId="3" applyFont="1" applyFill="1" applyBorder="1" applyAlignment="1">
      <alignment horizontal="right" vertical="center" wrapText="1"/>
    </xf>
    <xf numFmtId="43" fontId="37" fillId="8" borderId="6" xfId="3" applyFont="1" applyFill="1" applyBorder="1" applyAlignment="1">
      <alignment horizontal="right" vertical="center" wrapText="1"/>
    </xf>
    <xf numFmtId="0" fontId="34" fillId="0" borderId="3" xfId="0" applyFont="1" applyBorder="1" applyAlignment="1">
      <alignment horizontal="right"/>
    </xf>
    <xf numFmtId="0" fontId="34" fillId="0" borderId="6" xfId="0" applyFont="1" applyBorder="1" applyAlignment="1">
      <alignment horizontal="right"/>
    </xf>
    <xf numFmtId="0" fontId="11" fillId="4" borderId="0" xfId="0" applyFont="1" applyFill="1" applyAlignment="1">
      <alignment horizontal="left"/>
    </xf>
    <xf numFmtId="0" fontId="19" fillId="0" borderId="5" xfId="0" applyFont="1" applyBorder="1" applyAlignment="1">
      <alignment horizontal="left"/>
    </xf>
    <xf numFmtId="0" fontId="19" fillId="0" borderId="0" xfId="0" applyFont="1" applyAlignment="1">
      <alignment horizontal="left"/>
    </xf>
    <xf numFmtId="0" fontId="24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10" fillId="0" borderId="0" xfId="0" applyFont="1" applyAlignment="1">
      <alignment horizontal="center" vertical="center"/>
    </xf>
    <xf numFmtId="0" fontId="36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3" fontId="13" fillId="0" borderId="2" xfId="0" applyNumberFormat="1" applyFont="1" applyBorder="1" applyAlignment="1">
      <alignment horizontal="center"/>
    </xf>
    <xf numFmtId="3" fontId="52" fillId="0" borderId="2" xfId="0" applyNumberFormat="1" applyFont="1" applyBorder="1" applyAlignment="1">
      <alignment horizontal="center"/>
    </xf>
    <xf numFmtId="10" fontId="48" fillId="0" borderId="0" xfId="3" applyNumberFormat="1" applyFont="1" applyBorder="1" applyAlignment="1">
      <alignment horizontal="right"/>
    </xf>
    <xf numFmtId="0" fontId="47" fillId="0" borderId="0" xfId="0" applyFont="1" applyAlignment="1">
      <alignment horizontal="left" vertical="center"/>
    </xf>
    <xf numFmtId="0" fontId="15" fillId="0" borderId="0" xfId="0" applyFont="1" applyAlignment="1">
      <alignment horizontal="center" wrapText="1"/>
    </xf>
    <xf numFmtId="0" fontId="36" fillId="0" borderId="0" xfId="0" applyFont="1" applyAlignment="1">
      <alignment horizontal="left"/>
    </xf>
    <xf numFmtId="10" fontId="42" fillId="0" borderId="0" xfId="3" applyNumberFormat="1" applyFont="1" applyBorder="1" applyAlignment="1">
      <alignment horizontal="left"/>
    </xf>
    <xf numFmtId="44" fontId="42" fillId="2" borderId="0" xfId="1" applyFont="1" applyFill="1" applyBorder="1" applyAlignment="1">
      <alignment horizontal="left"/>
    </xf>
    <xf numFmtId="0" fontId="54" fillId="5" borderId="0" xfId="0" applyFont="1" applyFill="1" applyAlignment="1">
      <alignment horizontal="left"/>
    </xf>
    <xf numFmtId="0" fontId="55" fillId="5" borderId="0" xfId="0" applyFont="1" applyFill="1" applyAlignment="1">
      <alignment horizontal="center" vertical="center"/>
    </xf>
    <xf numFmtId="0" fontId="55" fillId="5" borderId="0" xfId="0" applyFont="1" applyFill="1" applyAlignment="1">
      <alignment horizontal="left" wrapText="1"/>
    </xf>
    <xf numFmtId="0" fontId="55" fillId="5" borderId="0" xfId="0" applyFont="1" applyFill="1"/>
  </cellXfs>
  <cellStyles count="5">
    <cellStyle name="Comma" xfId="3" builtinId="3"/>
    <cellStyle name="Currency" xfId="1" builtinId="4"/>
    <cellStyle name="Hyperlink" xfId="2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0066CC"/>
      <color rgb="FFCC99FF"/>
      <color rgb="FF3399FF"/>
      <color rgb="FFCCFFFF"/>
      <color rgb="FFBF64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421341</xdr:colOff>
      <xdr:row>0</xdr:row>
      <xdr:rowOff>0</xdr:rowOff>
    </xdr:from>
    <xdr:to>
      <xdr:col>2</xdr:col>
      <xdr:colOff>967548</xdr:colOff>
      <xdr:row>4</xdr:row>
      <xdr:rowOff>125506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EC3447E-7131-429F-B09B-102E048F807F}"/>
            </a:ext>
          </a:extLst>
        </xdr:cNvPr>
        <xdr:cNvGrpSpPr/>
      </xdr:nvGrpSpPr>
      <xdr:grpSpPr>
        <a:xfrm>
          <a:off x="1041827" y="0"/>
          <a:ext cx="1253778" cy="1126992"/>
          <a:chOff x="8001000" y="5942623"/>
          <a:chExt cx="904999" cy="822854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10CE84E2-C698-520F-A421-9CF0DD9C8239}"/>
              </a:ext>
            </a:extLst>
          </xdr:cNvPr>
          <xdr:cNvSpPr/>
        </xdr:nvSpPr>
        <xdr:spPr>
          <a:xfrm>
            <a:off x="8026400" y="6003477"/>
            <a:ext cx="828799" cy="762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B95D9E1-FE55-77A1-DF29-BDA1159DB133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/>
          <a:srcRect b="15244"/>
          <a:stretch/>
        </xdr:blipFill>
        <xdr:spPr>
          <a:xfrm>
            <a:off x="8001000" y="5942623"/>
            <a:ext cx="904999" cy="784753"/>
          </a:xfrm>
          <a:prstGeom prst="rect">
            <a:avLst/>
          </a:prstGeom>
          <a:effectLst/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421341</xdr:colOff>
      <xdr:row>0</xdr:row>
      <xdr:rowOff>0</xdr:rowOff>
    </xdr:from>
    <xdr:to>
      <xdr:col>2</xdr:col>
      <xdr:colOff>967548</xdr:colOff>
      <xdr:row>4</xdr:row>
      <xdr:rowOff>125506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97C148-9044-4DB8-9A30-3CE614B8285D}"/>
            </a:ext>
          </a:extLst>
        </xdr:cNvPr>
        <xdr:cNvGrpSpPr/>
      </xdr:nvGrpSpPr>
      <xdr:grpSpPr>
        <a:xfrm>
          <a:off x="1041827" y="0"/>
          <a:ext cx="1253778" cy="1126992"/>
          <a:chOff x="8001000" y="5942623"/>
          <a:chExt cx="904999" cy="822854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54DDF589-1FB7-82E8-B234-7E2F08F136AA}"/>
              </a:ext>
            </a:extLst>
          </xdr:cNvPr>
          <xdr:cNvSpPr/>
        </xdr:nvSpPr>
        <xdr:spPr>
          <a:xfrm>
            <a:off x="8026400" y="6003477"/>
            <a:ext cx="828799" cy="762000"/>
          </a:xfrm>
          <a:prstGeom prst="ellipse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zh-CN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D9BD72D3-51D3-9358-2B17-0322F27017F7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print"/>
          <a:srcRect b="15244"/>
          <a:stretch/>
        </xdr:blipFill>
        <xdr:spPr>
          <a:xfrm>
            <a:off x="8001000" y="5942623"/>
            <a:ext cx="904999" cy="784753"/>
          </a:xfrm>
          <a:prstGeom prst="rect">
            <a:avLst/>
          </a:prstGeom>
          <a:effectLst/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alexander.boyle@crispin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exander.boyle@crispin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46357-F59D-4BDC-AD94-B73A69474D02}">
  <dimension ref="B1:Y96"/>
  <sheetViews>
    <sheetView tabSelected="1" topLeftCell="A37" zoomScale="70" zoomScaleNormal="70" workbookViewId="0">
      <selection activeCell="I46" sqref="I46"/>
    </sheetView>
  </sheetViews>
  <sheetFormatPr defaultColWidth="9.109375" defaultRowHeight="13.8" x14ac:dyDescent="0.3"/>
  <cols>
    <col min="1" max="1" width="9.109375" style="4"/>
    <col min="2" max="2" width="10.33203125" style="4" customWidth="1"/>
    <col min="3" max="3" width="33.5546875" style="4" customWidth="1"/>
    <col min="4" max="4" width="21.77734375" style="4" customWidth="1"/>
    <col min="5" max="5" width="19.6640625" style="4" customWidth="1"/>
    <col min="6" max="6" width="14.88671875" style="4" customWidth="1"/>
    <col min="7" max="7" width="13.77734375" style="4" customWidth="1"/>
    <col min="8" max="8" width="16.109375" style="5" customWidth="1"/>
    <col min="9" max="9" width="11.44140625" style="4" customWidth="1"/>
    <col min="10" max="16" width="9.33203125" style="4" customWidth="1"/>
    <col min="17" max="17" width="12.44140625" style="4" customWidth="1"/>
    <col min="18" max="18" width="9.33203125" style="4" customWidth="1"/>
    <col min="19" max="20" width="12" style="4" customWidth="1"/>
    <col min="21" max="21" width="9.33203125" style="4" customWidth="1"/>
    <col min="22" max="22" width="9.6640625" style="4" customWidth="1"/>
    <col min="23" max="23" width="11.5546875" style="4" customWidth="1"/>
    <col min="24" max="24" width="22" style="4" customWidth="1"/>
    <col min="25" max="25" width="24.88671875" style="5" customWidth="1"/>
    <col min="26" max="16384" width="9.109375" style="4"/>
  </cols>
  <sheetData>
    <row r="1" spans="2:25" ht="19.95" customHeight="1" x14ac:dyDescent="0.3"/>
    <row r="2" spans="2:25" ht="19.95" customHeight="1" x14ac:dyDescent="0.3">
      <c r="E2" s="136" t="s">
        <v>16</v>
      </c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Y2" s="110"/>
    </row>
    <row r="3" spans="2:25" ht="19.95" customHeight="1" x14ac:dyDescent="0.25">
      <c r="E3" s="135" t="s">
        <v>56</v>
      </c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</row>
    <row r="4" spans="2:25" ht="19.95" customHeight="1" x14ac:dyDescent="0.3"/>
    <row r="5" spans="2:25" ht="19.95" customHeight="1" x14ac:dyDescent="0.3"/>
    <row r="6" spans="2:25" s="1" customFormat="1" ht="15.6" x14ac:dyDescent="0.3">
      <c r="C6" s="105" t="s">
        <v>17</v>
      </c>
      <c r="D6" s="89" t="s">
        <v>62</v>
      </c>
      <c r="E6" s="90"/>
      <c r="F6" s="90"/>
      <c r="G6" s="90"/>
      <c r="H6" s="91"/>
      <c r="I6" s="9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2"/>
      <c r="X6" s="11"/>
      <c r="Y6" s="11"/>
    </row>
    <row r="7" spans="2:25" s="1" customFormat="1" ht="15.6" x14ac:dyDescent="0.3">
      <c r="C7" s="106" t="s">
        <v>18</v>
      </c>
      <c r="D7" s="93" t="s">
        <v>30</v>
      </c>
      <c r="E7" s="94"/>
      <c r="F7" s="94"/>
      <c r="G7" s="94"/>
      <c r="H7" s="13"/>
      <c r="I7" s="95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2"/>
      <c r="X7" s="11"/>
      <c r="Y7" s="11"/>
    </row>
    <row r="8" spans="2:25" s="1" customFormat="1" ht="15.6" x14ac:dyDescent="0.3">
      <c r="C8" s="106" t="s">
        <v>0</v>
      </c>
      <c r="D8" s="93" t="s">
        <v>54</v>
      </c>
      <c r="E8" s="96"/>
      <c r="F8" s="96"/>
      <c r="G8" s="96"/>
      <c r="H8" s="13"/>
      <c r="I8" s="97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</row>
    <row r="9" spans="2:25" s="1" customFormat="1" ht="18.75" customHeight="1" x14ac:dyDescent="0.3">
      <c r="C9" s="106" t="s">
        <v>1</v>
      </c>
      <c r="D9" s="98" t="s">
        <v>53</v>
      </c>
      <c r="E9" s="14"/>
      <c r="F9" s="14"/>
      <c r="G9" s="14"/>
      <c r="H9" s="15"/>
      <c r="I9" s="99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5"/>
    </row>
    <row r="10" spans="2:25" s="1" customFormat="1" ht="18.75" customHeight="1" x14ac:dyDescent="0.3">
      <c r="C10" s="106" t="s">
        <v>11</v>
      </c>
      <c r="D10" s="100" t="s">
        <v>12</v>
      </c>
      <c r="E10" s="17"/>
      <c r="F10" s="17"/>
      <c r="G10" s="17"/>
      <c r="H10" s="15"/>
      <c r="I10" s="99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5"/>
    </row>
    <row r="11" spans="2:25" s="1" customFormat="1" ht="18.75" customHeight="1" x14ac:dyDescent="0.3">
      <c r="C11" s="106" t="s">
        <v>13</v>
      </c>
      <c r="D11" s="100" t="s">
        <v>26</v>
      </c>
      <c r="E11" s="17"/>
      <c r="F11" s="17"/>
      <c r="G11" s="17"/>
      <c r="H11" s="15"/>
      <c r="I11" s="99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5"/>
    </row>
    <row r="12" spans="2:25" s="1" customFormat="1" ht="18.75" customHeight="1" x14ac:dyDescent="0.3">
      <c r="C12" s="106" t="s">
        <v>44</v>
      </c>
      <c r="D12" s="132" t="s">
        <v>55</v>
      </c>
      <c r="E12" s="133"/>
      <c r="F12" s="133"/>
      <c r="G12" s="133"/>
      <c r="H12" s="15"/>
      <c r="I12" s="99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5"/>
    </row>
    <row r="13" spans="2:25" s="1" customFormat="1" ht="15.6" x14ac:dyDescent="0.3">
      <c r="C13" s="114" t="s">
        <v>64</v>
      </c>
      <c r="D13" s="104">
        <v>46288</v>
      </c>
      <c r="E13" s="101"/>
      <c r="F13" s="101"/>
      <c r="G13" s="101"/>
      <c r="H13" s="102"/>
      <c r="I13" s="103"/>
      <c r="J13" s="12"/>
      <c r="K13" s="12"/>
      <c r="L13" s="12"/>
      <c r="M13" s="12"/>
      <c r="N13" s="12"/>
      <c r="O13" s="12"/>
      <c r="P13" s="12"/>
      <c r="Q13" s="12"/>
      <c r="R13" s="12"/>
      <c r="S13" s="18"/>
      <c r="T13" s="18"/>
      <c r="U13" s="12"/>
      <c r="V13" s="12"/>
      <c r="W13" s="12"/>
      <c r="X13" s="12"/>
      <c r="Y13" s="13"/>
    </row>
    <row r="14" spans="2:25" x14ac:dyDescent="0.3">
      <c r="C14" s="19"/>
      <c r="D14" s="20"/>
      <c r="E14" s="20"/>
      <c r="F14" s="20"/>
      <c r="G14" s="20"/>
      <c r="H14" s="21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1"/>
    </row>
    <row r="15" spans="2:25" s="108" customFormat="1" ht="31.2" customHeight="1" x14ac:dyDescent="0.4">
      <c r="B15" s="131" t="s">
        <v>57</v>
      </c>
      <c r="C15" s="131"/>
      <c r="D15" s="131"/>
      <c r="E15" s="131"/>
      <c r="F15" s="131"/>
      <c r="G15" s="131"/>
      <c r="H15" s="131"/>
      <c r="I15" s="131"/>
      <c r="J15" s="131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</row>
    <row r="16" spans="2:25" s="10" customFormat="1" ht="31.2" customHeight="1" x14ac:dyDescent="0.3">
      <c r="B16" s="9"/>
      <c r="C16" s="23"/>
      <c r="D16" s="23"/>
      <c r="E16" s="23"/>
      <c r="F16" s="23"/>
      <c r="G16" s="23"/>
      <c r="H16" s="24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2:25" s="2" customFormat="1" ht="21" customHeight="1" x14ac:dyDescent="0.3">
      <c r="C17" s="26"/>
      <c r="D17" s="134" t="s">
        <v>58</v>
      </c>
      <c r="E17" s="134"/>
      <c r="F17" s="134"/>
      <c r="G17" s="134"/>
      <c r="H17" s="134"/>
      <c r="I17" s="134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8"/>
    </row>
    <row r="18" spans="2:25" ht="40.799999999999997" customHeight="1" x14ac:dyDescent="0.4">
      <c r="C18" s="122" t="s">
        <v>42</v>
      </c>
      <c r="D18" s="122"/>
      <c r="E18" s="122"/>
      <c r="F18" s="122"/>
      <c r="G18" s="122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29"/>
    </row>
    <row r="19" spans="2:25" s="1" customFormat="1" ht="45.75" customHeight="1" x14ac:dyDescent="0.3">
      <c r="C19" s="30" t="s">
        <v>3</v>
      </c>
      <c r="D19" s="31" t="s">
        <v>2</v>
      </c>
      <c r="E19" s="30" t="s">
        <v>59</v>
      </c>
      <c r="F19" s="32" t="s">
        <v>60</v>
      </c>
      <c r="G19" s="85" t="s">
        <v>39</v>
      </c>
      <c r="H19" s="86">
        <v>46335</v>
      </c>
      <c r="I19" s="86">
        <f>H19+7</f>
        <v>46342</v>
      </c>
      <c r="J19" s="86">
        <f t="shared" ref="J19:K19" si="0">I19+7</f>
        <v>46349</v>
      </c>
      <c r="K19" s="86">
        <f t="shared" si="0"/>
        <v>46356</v>
      </c>
      <c r="L19" s="86">
        <f t="shared" ref="L19" si="1">K19+7</f>
        <v>46363</v>
      </c>
      <c r="M19" s="86">
        <f t="shared" ref="M19" si="2">L19+7</f>
        <v>46370</v>
      </c>
      <c r="N19" s="86">
        <f t="shared" ref="N19" si="3">M19+7</f>
        <v>46377</v>
      </c>
      <c r="O19" s="86">
        <f t="shared" ref="O19" si="4">N19+7</f>
        <v>46384</v>
      </c>
      <c r="P19" s="86">
        <f t="shared" ref="P19" si="5">O19+7</f>
        <v>46391</v>
      </c>
      <c r="Q19" s="86">
        <f t="shared" ref="Q19" si="6">P19+7</f>
        <v>46398</v>
      </c>
      <c r="R19" s="86">
        <f t="shared" ref="R19" si="7">Q19+7</f>
        <v>46405</v>
      </c>
      <c r="S19" s="86">
        <f t="shared" ref="S19" si="8">R19+7</f>
        <v>46412</v>
      </c>
      <c r="T19" s="86">
        <f t="shared" ref="T19" si="9">S19+7</f>
        <v>46419</v>
      </c>
      <c r="U19" s="86">
        <f t="shared" ref="U19" si="10">T19+7</f>
        <v>46426</v>
      </c>
      <c r="V19" s="86">
        <f t="shared" ref="V19" si="11">U19+7</f>
        <v>46433</v>
      </c>
      <c r="W19" s="116" t="s">
        <v>19</v>
      </c>
      <c r="X19" s="33" t="s">
        <v>43</v>
      </c>
      <c r="Y19" s="58" t="s">
        <v>63</v>
      </c>
    </row>
    <row r="20" spans="2:25" s="1" customFormat="1" ht="25.8" customHeight="1" x14ac:dyDescent="0.3">
      <c r="B20" s="7"/>
      <c r="C20" s="34" t="s">
        <v>6</v>
      </c>
      <c r="D20" s="35" t="s">
        <v>5</v>
      </c>
      <c r="E20" s="36">
        <v>180</v>
      </c>
      <c r="F20" s="37">
        <v>141.18</v>
      </c>
      <c r="G20" s="87" t="s">
        <v>40</v>
      </c>
      <c r="H20" s="38">
        <v>3</v>
      </c>
      <c r="I20" s="38">
        <v>3</v>
      </c>
      <c r="J20" s="38">
        <v>3</v>
      </c>
      <c r="K20" s="38">
        <v>3</v>
      </c>
      <c r="L20" s="38">
        <v>3</v>
      </c>
      <c r="M20" s="38">
        <v>3</v>
      </c>
      <c r="N20" s="38">
        <v>3</v>
      </c>
      <c r="O20" s="38">
        <v>3</v>
      </c>
      <c r="P20" s="38">
        <v>3</v>
      </c>
      <c r="Q20" s="38">
        <v>3</v>
      </c>
      <c r="R20" s="38">
        <v>3</v>
      </c>
      <c r="S20" s="38">
        <v>3</v>
      </c>
      <c r="T20" s="38">
        <v>3</v>
      </c>
      <c r="U20" s="38">
        <v>3</v>
      </c>
      <c r="V20" s="38">
        <v>3</v>
      </c>
      <c r="W20" s="39">
        <f t="shared" ref="W20:W27" si="12">SUM(H20:V20)</f>
        <v>45</v>
      </c>
      <c r="X20" s="40">
        <f t="shared" ref="X20:X27" si="13">W20*E20</f>
        <v>8100</v>
      </c>
      <c r="Y20" s="41">
        <f t="shared" ref="Y20:Y27" si="14">W20*F20</f>
        <v>6353.1</v>
      </c>
    </row>
    <row r="21" spans="2:25" s="1" customFormat="1" ht="26.4" customHeight="1" x14ac:dyDescent="0.3">
      <c r="B21" s="7"/>
      <c r="C21" s="34" t="s">
        <v>4</v>
      </c>
      <c r="D21" s="35" t="s">
        <v>24</v>
      </c>
      <c r="E21" s="36">
        <v>180</v>
      </c>
      <c r="F21" s="37">
        <v>141.18</v>
      </c>
      <c r="G21" s="87" t="s">
        <v>40</v>
      </c>
      <c r="H21" s="38">
        <v>3</v>
      </c>
      <c r="I21" s="38">
        <v>3</v>
      </c>
      <c r="J21" s="38">
        <v>3</v>
      </c>
      <c r="K21" s="38">
        <v>3</v>
      </c>
      <c r="L21" s="38">
        <v>3</v>
      </c>
      <c r="M21" s="38">
        <v>3</v>
      </c>
      <c r="N21" s="38">
        <v>3</v>
      </c>
      <c r="O21" s="38">
        <v>3</v>
      </c>
      <c r="P21" s="38">
        <v>3</v>
      </c>
      <c r="Q21" s="38">
        <v>3</v>
      </c>
      <c r="R21" s="38">
        <v>3</v>
      </c>
      <c r="S21" s="38">
        <v>3</v>
      </c>
      <c r="T21" s="38">
        <v>3</v>
      </c>
      <c r="U21" s="38">
        <v>3</v>
      </c>
      <c r="V21" s="38">
        <v>3</v>
      </c>
      <c r="W21" s="39">
        <f t="shared" si="12"/>
        <v>45</v>
      </c>
      <c r="X21" s="40">
        <f t="shared" si="13"/>
        <v>8100</v>
      </c>
      <c r="Y21" s="41">
        <f t="shared" si="14"/>
        <v>6353.1</v>
      </c>
    </row>
    <row r="22" spans="2:25" s="1" customFormat="1" ht="24.6" customHeight="1" x14ac:dyDescent="0.3">
      <c r="B22" s="7"/>
      <c r="C22" s="34" t="s">
        <v>21</v>
      </c>
      <c r="D22" s="35" t="s">
        <v>22</v>
      </c>
      <c r="E22" s="36">
        <v>140</v>
      </c>
      <c r="F22" s="37">
        <v>117.65</v>
      </c>
      <c r="G22" s="87" t="s">
        <v>40</v>
      </c>
      <c r="H22" s="38">
        <v>2</v>
      </c>
      <c r="I22" s="38">
        <v>2</v>
      </c>
      <c r="J22" s="38">
        <v>2</v>
      </c>
      <c r="K22" s="38">
        <v>2</v>
      </c>
      <c r="L22" s="38">
        <v>2</v>
      </c>
      <c r="M22" s="38">
        <v>2</v>
      </c>
      <c r="N22" s="38">
        <v>2</v>
      </c>
      <c r="O22" s="38">
        <v>2</v>
      </c>
      <c r="P22" s="38">
        <v>2</v>
      </c>
      <c r="Q22" s="38">
        <v>2</v>
      </c>
      <c r="R22" s="38">
        <v>2</v>
      </c>
      <c r="S22" s="38">
        <v>2</v>
      </c>
      <c r="T22" s="38">
        <v>2</v>
      </c>
      <c r="U22" s="38">
        <v>2</v>
      </c>
      <c r="V22" s="38">
        <v>2</v>
      </c>
      <c r="W22" s="39">
        <f t="shared" si="12"/>
        <v>30</v>
      </c>
      <c r="X22" s="40">
        <f t="shared" si="13"/>
        <v>4200</v>
      </c>
      <c r="Y22" s="41">
        <f t="shared" si="14"/>
        <v>3529.5</v>
      </c>
    </row>
    <row r="23" spans="2:25" s="1" customFormat="1" ht="41.4" customHeight="1" x14ac:dyDescent="0.3">
      <c r="B23" s="7"/>
      <c r="C23" s="34" t="s">
        <v>7</v>
      </c>
      <c r="D23" s="35" t="s">
        <v>20</v>
      </c>
      <c r="E23" s="36">
        <v>140</v>
      </c>
      <c r="F23" s="37">
        <v>117.65</v>
      </c>
      <c r="G23" s="87" t="s">
        <v>40</v>
      </c>
      <c r="H23" s="38">
        <v>3</v>
      </c>
      <c r="I23" s="38">
        <v>3</v>
      </c>
      <c r="J23" s="38">
        <v>3</v>
      </c>
      <c r="K23" s="38">
        <v>3</v>
      </c>
      <c r="L23" s="38">
        <v>3</v>
      </c>
      <c r="M23" s="38">
        <v>3</v>
      </c>
      <c r="N23" s="38">
        <v>3</v>
      </c>
      <c r="O23" s="38">
        <v>3</v>
      </c>
      <c r="P23" s="38">
        <v>3</v>
      </c>
      <c r="Q23" s="38">
        <v>3</v>
      </c>
      <c r="R23" s="38">
        <v>3</v>
      </c>
      <c r="S23" s="38">
        <v>3</v>
      </c>
      <c r="T23" s="38">
        <v>3</v>
      </c>
      <c r="U23" s="38">
        <v>3</v>
      </c>
      <c r="V23" s="38">
        <v>3</v>
      </c>
      <c r="W23" s="39">
        <f t="shared" si="12"/>
        <v>45</v>
      </c>
      <c r="X23" s="40">
        <f t="shared" si="13"/>
        <v>6300</v>
      </c>
      <c r="Y23" s="41">
        <f t="shared" si="14"/>
        <v>5294.25</v>
      </c>
    </row>
    <row r="24" spans="2:25" s="1" customFormat="1" ht="30.6" customHeight="1" x14ac:dyDescent="0.3">
      <c r="B24" s="7"/>
      <c r="C24" s="34" t="s">
        <v>14</v>
      </c>
      <c r="D24" s="35" t="s">
        <v>10</v>
      </c>
      <c r="E24" s="36">
        <v>60</v>
      </c>
      <c r="F24" s="37">
        <v>0</v>
      </c>
      <c r="G24" s="87" t="s">
        <v>41</v>
      </c>
      <c r="H24" s="38">
        <v>3</v>
      </c>
      <c r="I24" s="38">
        <v>3</v>
      </c>
      <c r="J24" s="38">
        <v>3</v>
      </c>
      <c r="K24" s="38">
        <v>3</v>
      </c>
      <c r="L24" s="38">
        <v>3</v>
      </c>
      <c r="M24" s="38">
        <v>3</v>
      </c>
      <c r="N24" s="38">
        <v>3</v>
      </c>
      <c r="O24" s="38">
        <v>3</v>
      </c>
      <c r="P24" s="38">
        <v>3</v>
      </c>
      <c r="Q24" s="38">
        <v>3</v>
      </c>
      <c r="R24" s="38">
        <v>3</v>
      </c>
      <c r="S24" s="38">
        <v>3</v>
      </c>
      <c r="T24" s="38">
        <v>3</v>
      </c>
      <c r="U24" s="38">
        <v>3</v>
      </c>
      <c r="V24" s="38">
        <v>3</v>
      </c>
      <c r="W24" s="39">
        <f t="shared" si="12"/>
        <v>45</v>
      </c>
      <c r="X24" s="40">
        <f t="shared" si="13"/>
        <v>2700</v>
      </c>
      <c r="Y24" s="41">
        <f t="shared" si="14"/>
        <v>0</v>
      </c>
    </row>
    <row r="25" spans="2:25" s="1" customFormat="1" ht="30.6" customHeight="1" x14ac:dyDescent="0.3">
      <c r="B25" s="7"/>
      <c r="C25" s="34" t="s">
        <v>15</v>
      </c>
      <c r="D25" s="35" t="s">
        <v>10</v>
      </c>
      <c r="E25" s="36">
        <v>60</v>
      </c>
      <c r="F25" s="37">
        <v>0</v>
      </c>
      <c r="G25" s="87" t="s">
        <v>41</v>
      </c>
      <c r="H25" s="38">
        <v>3</v>
      </c>
      <c r="I25" s="38">
        <v>3</v>
      </c>
      <c r="J25" s="38">
        <v>3</v>
      </c>
      <c r="K25" s="38">
        <v>3</v>
      </c>
      <c r="L25" s="38">
        <v>3</v>
      </c>
      <c r="M25" s="38">
        <v>3</v>
      </c>
      <c r="N25" s="38">
        <v>3</v>
      </c>
      <c r="O25" s="38">
        <v>3</v>
      </c>
      <c r="P25" s="38">
        <v>3</v>
      </c>
      <c r="Q25" s="38">
        <v>3</v>
      </c>
      <c r="R25" s="38">
        <v>3</v>
      </c>
      <c r="S25" s="38">
        <v>3</v>
      </c>
      <c r="T25" s="38">
        <v>3</v>
      </c>
      <c r="U25" s="38">
        <v>3</v>
      </c>
      <c r="V25" s="38">
        <v>3</v>
      </c>
      <c r="W25" s="39">
        <f t="shared" si="12"/>
        <v>45</v>
      </c>
      <c r="X25" s="40">
        <f t="shared" si="13"/>
        <v>2700</v>
      </c>
      <c r="Y25" s="41">
        <f t="shared" si="14"/>
        <v>0</v>
      </c>
    </row>
    <row r="26" spans="2:25" s="1" customFormat="1" ht="34.5" customHeight="1" x14ac:dyDescent="0.3">
      <c r="B26" s="7"/>
      <c r="C26" s="34" t="s">
        <v>8</v>
      </c>
      <c r="D26" s="35" t="s">
        <v>10</v>
      </c>
      <c r="E26" s="36">
        <f>42.5/0.85</f>
        <v>50</v>
      </c>
      <c r="F26" s="37">
        <v>0</v>
      </c>
      <c r="G26" s="87" t="s">
        <v>41</v>
      </c>
      <c r="H26" s="38">
        <v>2</v>
      </c>
      <c r="I26" s="38">
        <v>2</v>
      </c>
      <c r="J26" s="38">
        <v>2</v>
      </c>
      <c r="K26" s="38">
        <v>2</v>
      </c>
      <c r="L26" s="38">
        <v>2</v>
      </c>
      <c r="M26" s="38">
        <v>2</v>
      </c>
      <c r="N26" s="38">
        <v>2</v>
      </c>
      <c r="O26" s="38">
        <v>2</v>
      </c>
      <c r="P26" s="38">
        <v>2</v>
      </c>
      <c r="Q26" s="38">
        <v>2</v>
      </c>
      <c r="R26" s="38">
        <v>2</v>
      </c>
      <c r="S26" s="38">
        <v>2</v>
      </c>
      <c r="T26" s="38">
        <v>2</v>
      </c>
      <c r="U26" s="38">
        <v>2</v>
      </c>
      <c r="V26" s="38">
        <v>2</v>
      </c>
      <c r="W26" s="39">
        <f t="shared" si="12"/>
        <v>30</v>
      </c>
      <c r="X26" s="40">
        <f t="shared" si="13"/>
        <v>1500</v>
      </c>
      <c r="Y26" s="41">
        <f t="shared" si="14"/>
        <v>0</v>
      </c>
    </row>
    <row r="27" spans="2:25" s="1" customFormat="1" ht="34.5" customHeight="1" x14ac:dyDescent="0.3">
      <c r="B27" s="8"/>
      <c r="C27" s="34" t="s">
        <v>9</v>
      </c>
      <c r="D27" s="35" t="s">
        <v>10</v>
      </c>
      <c r="E27" s="36">
        <f>42.5/0.85</f>
        <v>50</v>
      </c>
      <c r="F27" s="37">
        <v>0</v>
      </c>
      <c r="G27" s="87" t="s">
        <v>41</v>
      </c>
      <c r="H27" s="38">
        <v>3</v>
      </c>
      <c r="I27" s="38">
        <v>3</v>
      </c>
      <c r="J27" s="38">
        <v>3</v>
      </c>
      <c r="K27" s="38">
        <v>3</v>
      </c>
      <c r="L27" s="38">
        <v>3</v>
      </c>
      <c r="M27" s="38">
        <v>3</v>
      </c>
      <c r="N27" s="38">
        <v>3</v>
      </c>
      <c r="O27" s="38">
        <v>3</v>
      </c>
      <c r="P27" s="38">
        <v>3</v>
      </c>
      <c r="Q27" s="38">
        <v>3</v>
      </c>
      <c r="R27" s="38">
        <v>3</v>
      </c>
      <c r="S27" s="38">
        <v>3</v>
      </c>
      <c r="T27" s="38">
        <v>3</v>
      </c>
      <c r="U27" s="38">
        <v>3</v>
      </c>
      <c r="V27" s="38">
        <v>3</v>
      </c>
      <c r="W27" s="39">
        <f t="shared" si="12"/>
        <v>45</v>
      </c>
      <c r="X27" s="42">
        <f t="shared" si="13"/>
        <v>2250</v>
      </c>
      <c r="Y27" s="43">
        <f t="shared" si="14"/>
        <v>0</v>
      </c>
    </row>
    <row r="28" spans="2:25" s="6" customFormat="1" ht="31.5" customHeight="1" x14ac:dyDescent="0.35">
      <c r="C28" s="124" t="s">
        <v>33</v>
      </c>
      <c r="D28" s="124"/>
      <c r="E28" s="124"/>
      <c r="F28" s="124"/>
      <c r="G28" s="124"/>
      <c r="H28" s="111">
        <f>SUM(H20:H23)</f>
        <v>11</v>
      </c>
      <c r="I28" s="111">
        <f t="shared" ref="I28:V28" si="15">SUM(I20:I23)</f>
        <v>11</v>
      </c>
      <c r="J28" s="111">
        <f t="shared" si="15"/>
        <v>11</v>
      </c>
      <c r="K28" s="111">
        <f t="shared" si="15"/>
        <v>11</v>
      </c>
      <c r="L28" s="111">
        <f t="shared" si="15"/>
        <v>11</v>
      </c>
      <c r="M28" s="111">
        <f t="shared" si="15"/>
        <v>11</v>
      </c>
      <c r="N28" s="111">
        <f t="shared" si="15"/>
        <v>11</v>
      </c>
      <c r="O28" s="111">
        <f t="shared" si="15"/>
        <v>11</v>
      </c>
      <c r="P28" s="111">
        <f t="shared" si="15"/>
        <v>11</v>
      </c>
      <c r="Q28" s="111">
        <f t="shared" si="15"/>
        <v>11</v>
      </c>
      <c r="R28" s="111">
        <f t="shared" si="15"/>
        <v>11</v>
      </c>
      <c r="S28" s="111">
        <f t="shared" si="15"/>
        <v>11</v>
      </c>
      <c r="T28" s="111">
        <f t="shared" si="15"/>
        <v>11</v>
      </c>
      <c r="U28" s="111">
        <f t="shared" si="15"/>
        <v>11</v>
      </c>
      <c r="V28" s="111">
        <f t="shared" si="15"/>
        <v>11</v>
      </c>
      <c r="W28" s="88">
        <f>SUM(W20:W23)</f>
        <v>165</v>
      </c>
      <c r="X28" s="67">
        <f>SUM(X20:X23)</f>
        <v>26700</v>
      </c>
      <c r="Y28" s="68">
        <f>SUM(Y20:Y27)</f>
        <v>21529.95</v>
      </c>
    </row>
    <row r="29" spans="2:25" s="6" customFormat="1" ht="31.5" customHeight="1" x14ac:dyDescent="0.35">
      <c r="C29" s="124" t="s">
        <v>34</v>
      </c>
      <c r="D29" s="124"/>
      <c r="E29" s="124"/>
      <c r="F29" s="124"/>
      <c r="G29" s="124"/>
      <c r="H29" s="111">
        <f>SUM(H24:H27)</f>
        <v>11</v>
      </c>
      <c r="I29" s="111">
        <f t="shared" ref="I29:V29" si="16">SUM(I24:I27)</f>
        <v>11</v>
      </c>
      <c r="J29" s="111">
        <f t="shared" si="16"/>
        <v>11</v>
      </c>
      <c r="K29" s="111">
        <f t="shared" si="16"/>
        <v>11</v>
      </c>
      <c r="L29" s="111">
        <f t="shared" si="16"/>
        <v>11</v>
      </c>
      <c r="M29" s="111">
        <f t="shared" si="16"/>
        <v>11</v>
      </c>
      <c r="N29" s="111">
        <f t="shared" si="16"/>
        <v>11</v>
      </c>
      <c r="O29" s="111">
        <f t="shared" si="16"/>
        <v>11</v>
      </c>
      <c r="P29" s="111">
        <f t="shared" si="16"/>
        <v>11</v>
      </c>
      <c r="Q29" s="111">
        <f t="shared" si="16"/>
        <v>11</v>
      </c>
      <c r="R29" s="111">
        <f t="shared" si="16"/>
        <v>11</v>
      </c>
      <c r="S29" s="111">
        <f t="shared" si="16"/>
        <v>11</v>
      </c>
      <c r="T29" s="111">
        <f t="shared" si="16"/>
        <v>11</v>
      </c>
      <c r="U29" s="111">
        <f t="shared" si="16"/>
        <v>11</v>
      </c>
      <c r="V29" s="111">
        <f t="shared" si="16"/>
        <v>11</v>
      </c>
      <c r="W29" s="88">
        <f>SUM(W24:W27)</f>
        <v>165</v>
      </c>
      <c r="X29" s="69">
        <f t="shared" ref="X29:Y29" si="17">SUM(X24:X27)</f>
        <v>9150</v>
      </c>
      <c r="Y29" s="70">
        <f t="shared" si="17"/>
        <v>0</v>
      </c>
    </row>
    <row r="30" spans="2:25" s="6" customFormat="1" ht="31.5" customHeight="1" x14ac:dyDescent="0.35">
      <c r="C30" s="125" t="s">
        <v>35</v>
      </c>
      <c r="D30" s="125"/>
      <c r="E30" s="125"/>
      <c r="F30" s="125"/>
      <c r="G30" s="125"/>
      <c r="H30" s="113">
        <f t="shared" ref="H30:S30" si="18">SUM(H28:H29)</f>
        <v>22</v>
      </c>
      <c r="I30" s="113">
        <f t="shared" si="18"/>
        <v>22</v>
      </c>
      <c r="J30" s="113">
        <f t="shared" si="18"/>
        <v>22</v>
      </c>
      <c r="K30" s="113">
        <f t="shared" si="18"/>
        <v>22</v>
      </c>
      <c r="L30" s="113">
        <f t="shared" ref="L30:O30" si="19">SUM(L28:L29)</f>
        <v>22</v>
      </c>
      <c r="M30" s="113">
        <f t="shared" si="19"/>
        <v>22</v>
      </c>
      <c r="N30" s="113">
        <f t="shared" si="19"/>
        <v>22</v>
      </c>
      <c r="O30" s="113">
        <f t="shared" si="19"/>
        <v>22</v>
      </c>
      <c r="P30" s="113">
        <f t="shared" si="18"/>
        <v>22</v>
      </c>
      <c r="Q30" s="113">
        <f t="shared" si="18"/>
        <v>22</v>
      </c>
      <c r="R30" s="113">
        <f t="shared" si="18"/>
        <v>22</v>
      </c>
      <c r="S30" s="113">
        <f t="shared" si="18"/>
        <v>22</v>
      </c>
      <c r="T30" s="113">
        <f t="shared" ref="T30:V30" si="20">SUM(T28:T29)</f>
        <v>22</v>
      </c>
      <c r="U30" s="113">
        <f t="shared" si="20"/>
        <v>22</v>
      </c>
      <c r="V30" s="113">
        <f t="shared" si="20"/>
        <v>22</v>
      </c>
      <c r="W30" s="112">
        <f>SUM(W28:W29)</f>
        <v>330</v>
      </c>
      <c r="X30" s="71">
        <f>SUM(X28:X29)</f>
        <v>35850</v>
      </c>
      <c r="Y30" s="72">
        <f>Y28</f>
        <v>21529.95</v>
      </c>
    </row>
    <row r="31" spans="2:25" s="6" customFormat="1" ht="31.5" customHeight="1" x14ac:dyDescent="0.3">
      <c r="C31" s="126" t="s">
        <v>49</v>
      </c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127"/>
      <c r="T31" s="127"/>
      <c r="U31" s="127"/>
      <c r="V31" s="127"/>
      <c r="W31" s="128"/>
      <c r="X31" s="73">
        <f>SUM(X30:X30)</f>
        <v>35850</v>
      </c>
      <c r="Y31" s="74">
        <f>SUM(Y30:Y30)</f>
        <v>21529.95</v>
      </c>
    </row>
    <row r="32" spans="2:25" s="3" customFormat="1" ht="28.5" customHeight="1" x14ac:dyDescent="0.35"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129" t="s">
        <v>61</v>
      </c>
      <c r="W32" s="130"/>
      <c r="X32" s="118">
        <f>(X31-Y31)/X31</f>
        <v>0.39944351464435146</v>
      </c>
      <c r="Y32" s="45"/>
    </row>
    <row r="33" spans="2:25" s="3" customFormat="1" ht="28.5" customHeight="1" x14ac:dyDescent="0.35">
      <c r="C33" s="46" t="s">
        <v>45</v>
      </c>
      <c r="D33" s="119" t="s">
        <v>27</v>
      </c>
      <c r="E33" s="119"/>
      <c r="F33" s="44"/>
      <c r="G33" s="44"/>
      <c r="H33" s="44"/>
      <c r="I33" s="123"/>
      <c r="J33" s="123"/>
      <c r="K33" s="123"/>
      <c r="L33" s="115"/>
      <c r="M33" s="115"/>
      <c r="N33" s="115"/>
      <c r="O33" s="55"/>
      <c r="P33" s="55"/>
      <c r="Q33" s="55"/>
      <c r="R33" s="109"/>
      <c r="S33" s="109"/>
      <c r="T33" s="109"/>
      <c r="U33" s="109"/>
      <c r="V33" s="109"/>
      <c r="W33" s="45"/>
      <c r="X33" s="45"/>
    </row>
    <row r="34" spans="2:25" s="3" customFormat="1" ht="28.5" customHeight="1" x14ac:dyDescent="0.3">
      <c r="C34" s="76" t="s">
        <v>28</v>
      </c>
      <c r="D34" s="139">
        <v>8477634</v>
      </c>
      <c r="E34" s="139"/>
      <c r="F34" s="75"/>
      <c r="G34" s="75"/>
      <c r="H34" s="75"/>
      <c r="I34" s="75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5"/>
      <c r="X34" s="45"/>
      <c r="Y34" s="45"/>
    </row>
    <row r="35" spans="2:25" s="3" customFormat="1" ht="28.5" customHeight="1" x14ac:dyDescent="0.3">
      <c r="C35" s="76" t="s">
        <v>8</v>
      </c>
      <c r="D35" s="139">
        <v>1328688</v>
      </c>
      <c r="E35" s="139"/>
      <c r="F35" s="75"/>
      <c r="G35" s="75"/>
      <c r="H35" s="75"/>
      <c r="I35" s="75"/>
      <c r="J35" s="44"/>
      <c r="K35" s="44"/>
      <c r="L35" s="44"/>
      <c r="M35" s="44"/>
      <c r="N35" s="44"/>
      <c r="O35" s="60"/>
      <c r="P35" s="60"/>
      <c r="Q35" s="60"/>
      <c r="R35" s="60"/>
      <c r="S35" s="143"/>
      <c r="T35" s="143"/>
      <c r="U35" s="143"/>
      <c r="V35" s="143"/>
      <c r="W35" s="143"/>
      <c r="X35" s="143"/>
      <c r="Y35" s="45"/>
    </row>
    <row r="36" spans="2:25" s="3" customFormat="1" ht="28.5" customHeight="1" x14ac:dyDescent="0.3">
      <c r="C36" s="76" t="s">
        <v>29</v>
      </c>
      <c r="D36" s="139">
        <v>664722</v>
      </c>
      <c r="E36" s="139"/>
      <c r="F36" s="75"/>
      <c r="G36" s="75"/>
      <c r="H36" s="75"/>
      <c r="I36" s="75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5"/>
      <c r="X36" s="44"/>
      <c r="Y36" s="45"/>
    </row>
    <row r="37" spans="2:25" s="3" customFormat="1" ht="28.5" customHeight="1" thickBot="1" x14ac:dyDescent="0.5">
      <c r="C37" s="84" t="s">
        <v>25</v>
      </c>
      <c r="D37" s="140">
        <f>SUM(D34:E36)</f>
        <v>10471044</v>
      </c>
      <c r="E37" s="140"/>
      <c r="F37" s="44"/>
      <c r="G37" s="44"/>
      <c r="H37" s="75"/>
      <c r="I37" s="44"/>
      <c r="J37" s="44"/>
      <c r="K37" s="123" t="s">
        <v>37</v>
      </c>
      <c r="L37" s="123"/>
      <c r="M37" s="123"/>
      <c r="N37" s="123"/>
      <c r="O37" s="123"/>
      <c r="P37" s="123"/>
      <c r="Q37" s="59"/>
      <c r="R37" s="59"/>
      <c r="S37" s="59"/>
      <c r="T37" s="59"/>
      <c r="U37" s="47"/>
      <c r="V37" s="47"/>
      <c r="W37" s="48"/>
      <c r="X37" s="45"/>
      <c r="Y37" s="45"/>
    </row>
    <row r="38" spans="2:25" s="3" customFormat="1" ht="30" customHeight="1" x14ac:dyDescent="0.35"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137"/>
      <c r="X38" s="137"/>
      <c r="Y38" s="45"/>
    </row>
    <row r="39" spans="2:25" s="150" customFormat="1" ht="28.5" customHeight="1" x14ac:dyDescent="0.5">
      <c r="B39" s="147" t="s">
        <v>50</v>
      </c>
      <c r="C39" s="147"/>
      <c r="D39" s="147"/>
      <c r="E39" s="147"/>
      <c r="F39" s="147"/>
      <c r="G39" s="147"/>
      <c r="H39" s="147"/>
      <c r="I39" s="147"/>
      <c r="J39" s="147"/>
      <c r="K39" s="148"/>
      <c r="L39" s="148"/>
      <c r="M39" s="148"/>
      <c r="N39" s="148"/>
      <c r="O39" s="148"/>
      <c r="P39" s="148"/>
      <c r="Q39" s="149"/>
      <c r="R39" s="149"/>
      <c r="S39" s="149"/>
      <c r="T39" s="149"/>
      <c r="U39" s="149"/>
      <c r="V39" s="149"/>
      <c r="W39" s="149"/>
      <c r="X39" s="149"/>
      <c r="Y39" s="149"/>
    </row>
    <row r="40" spans="2:25" s="3" customFormat="1" ht="28.5" customHeight="1" x14ac:dyDescent="0.3">
      <c r="B40" s="9"/>
      <c r="C40" s="79" t="s">
        <v>51</v>
      </c>
      <c r="D40" s="79"/>
      <c r="E40" s="79"/>
      <c r="F40" s="79"/>
      <c r="G40" s="79"/>
      <c r="H40" s="79"/>
      <c r="I40" s="9"/>
      <c r="J40" s="9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25"/>
      <c r="W40" s="25"/>
      <c r="X40" s="25"/>
      <c r="Y40" s="25"/>
    </row>
    <row r="41" spans="2:25" s="3" customFormat="1" ht="28.5" customHeight="1" x14ac:dyDescent="0.3">
      <c r="B41" s="9"/>
      <c r="C41" s="142" t="s">
        <v>52</v>
      </c>
      <c r="D41" s="142"/>
      <c r="E41" s="142"/>
      <c r="F41" s="142"/>
      <c r="G41" s="142"/>
      <c r="H41" s="79"/>
      <c r="I41" s="9"/>
      <c r="J41" s="9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25"/>
      <c r="W41" s="25"/>
      <c r="X41" s="25"/>
      <c r="Y41" s="25"/>
    </row>
    <row r="42" spans="2:25" s="3" customFormat="1" ht="28.5" customHeight="1" x14ac:dyDescent="0.4">
      <c r="C42" s="141" t="s">
        <v>46</v>
      </c>
      <c r="D42" s="141"/>
      <c r="E42" s="80">
        <v>2325</v>
      </c>
      <c r="F42" s="145" t="s">
        <v>66</v>
      </c>
      <c r="G42" s="64"/>
      <c r="H42" s="64"/>
      <c r="I42" s="63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25"/>
      <c r="W42" s="25"/>
      <c r="X42" s="25"/>
      <c r="Y42" s="25"/>
    </row>
    <row r="43" spans="2:25" s="3" customFormat="1" ht="28.5" customHeight="1" x14ac:dyDescent="0.4">
      <c r="C43" s="141" t="s">
        <v>47</v>
      </c>
      <c r="D43" s="141"/>
      <c r="E43" s="80">
        <v>1650</v>
      </c>
      <c r="F43" s="145" t="s">
        <v>66</v>
      </c>
      <c r="G43" s="64"/>
      <c r="H43" s="64"/>
      <c r="I43" s="63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25"/>
      <c r="W43" s="25"/>
      <c r="X43" s="25"/>
      <c r="Y43" s="25"/>
    </row>
    <row r="44" spans="2:25" ht="30" customHeight="1" x14ac:dyDescent="0.4">
      <c r="C44" s="81"/>
      <c r="D44" s="82" t="s">
        <v>48</v>
      </c>
      <c r="E44" s="83">
        <f>SUM(E42:E43)</f>
        <v>3975</v>
      </c>
      <c r="F44" s="61"/>
      <c r="G44" s="52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117"/>
      <c r="X44" s="50"/>
      <c r="Y44" s="51"/>
    </row>
    <row r="45" spans="2:25" ht="30" customHeight="1" x14ac:dyDescent="0.4">
      <c r="C45" s="52"/>
      <c r="D45" s="65" t="s">
        <v>23</v>
      </c>
      <c r="E45" s="66">
        <v>2500</v>
      </c>
      <c r="F45" s="146" t="s">
        <v>66</v>
      </c>
      <c r="G45" s="52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117"/>
      <c r="X45" s="50"/>
      <c r="Y45" s="51"/>
    </row>
    <row r="46" spans="2:25" ht="30" customHeight="1" x14ac:dyDescent="0.4">
      <c r="C46" s="52"/>
      <c r="D46" s="62"/>
      <c r="E46" s="61">
        <f>2500/0.85</f>
        <v>2941.1764705882356</v>
      </c>
      <c r="F46" s="61" t="s">
        <v>67</v>
      </c>
      <c r="G46" s="52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117"/>
      <c r="X46" s="50"/>
      <c r="Y46" s="51"/>
    </row>
    <row r="47" spans="2:25" ht="30" customHeight="1" x14ac:dyDescent="0.4">
      <c r="C47" s="52"/>
      <c r="D47" s="61"/>
      <c r="E47" s="61"/>
      <c r="F47" s="52"/>
      <c r="G47" s="52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117"/>
      <c r="X47" s="50"/>
      <c r="Y47" s="51"/>
    </row>
    <row r="48" spans="2:25" s="77" customFormat="1" ht="25.05" customHeight="1" x14ac:dyDescent="0.45">
      <c r="C48" s="49" t="s">
        <v>31</v>
      </c>
      <c r="H48" s="78"/>
      <c r="Y48" s="78"/>
    </row>
    <row r="49" spans="3:25" ht="25.05" customHeight="1" x14ac:dyDescent="0.35">
      <c r="C49" s="144" t="s">
        <v>36</v>
      </c>
      <c r="D49" s="144"/>
      <c r="E49" s="144"/>
      <c r="F49" s="144"/>
      <c r="G49" s="53"/>
      <c r="H49" s="54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54"/>
    </row>
    <row r="50" spans="3:25" ht="25.05" customHeight="1" x14ac:dyDescent="0.4">
      <c r="C50" s="55" t="s">
        <v>32</v>
      </c>
      <c r="D50" s="22"/>
      <c r="E50" s="22"/>
      <c r="F50" s="22"/>
      <c r="G50" s="22"/>
      <c r="H50" s="56"/>
      <c r="I50" s="57"/>
      <c r="J50" s="57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54"/>
    </row>
    <row r="51" spans="3:25" ht="25.05" customHeight="1" x14ac:dyDescent="0.35">
      <c r="C51" s="55"/>
      <c r="D51" s="22"/>
      <c r="E51" s="22"/>
      <c r="F51" s="138" t="s">
        <v>38</v>
      </c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22"/>
      <c r="R51" s="22"/>
      <c r="S51" s="22"/>
      <c r="T51" s="22"/>
      <c r="U51" s="22"/>
      <c r="V51" s="22"/>
      <c r="W51" s="22"/>
      <c r="X51" s="22"/>
      <c r="Y51" s="54"/>
    </row>
    <row r="52" spans="3:25" ht="25.05" customHeight="1" x14ac:dyDescent="0.3">
      <c r="C52" s="22"/>
      <c r="D52" s="22"/>
      <c r="E52" s="22"/>
      <c r="F52" s="22"/>
      <c r="G52" s="22"/>
      <c r="H52" s="54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54"/>
    </row>
    <row r="53" spans="3:25" ht="25.05" customHeight="1" x14ac:dyDescent="0.3">
      <c r="C53" s="22"/>
      <c r="D53" s="22"/>
      <c r="E53" s="22"/>
      <c r="F53" s="22"/>
      <c r="G53" s="22"/>
      <c r="H53" s="54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54"/>
    </row>
    <row r="54" spans="3:25" ht="25.05" customHeight="1" x14ac:dyDescent="0.3">
      <c r="C54" s="22"/>
      <c r="D54" s="22"/>
      <c r="E54" s="22"/>
      <c r="F54" s="22"/>
      <c r="G54" s="22"/>
      <c r="H54" s="54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54"/>
    </row>
    <row r="55" spans="3:25" ht="25.05" customHeight="1" x14ac:dyDescent="0.3">
      <c r="C55" s="22"/>
      <c r="D55" s="22"/>
      <c r="E55" s="22"/>
      <c r="F55" s="22"/>
      <c r="G55" s="22"/>
      <c r="H55" s="54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54"/>
    </row>
    <row r="56" spans="3:25" ht="25.05" customHeight="1" x14ac:dyDescent="0.3">
      <c r="C56" s="22"/>
      <c r="D56" s="22"/>
      <c r="E56" s="22"/>
      <c r="F56" s="22"/>
      <c r="G56" s="22"/>
      <c r="H56" s="54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54"/>
    </row>
    <row r="57" spans="3:25" ht="25.05" customHeight="1" x14ac:dyDescent="0.3">
      <c r="C57" s="22"/>
      <c r="D57" s="22"/>
      <c r="E57" s="22"/>
      <c r="F57" s="22"/>
      <c r="G57" s="22"/>
      <c r="H57" s="54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54"/>
    </row>
    <row r="58" spans="3:25" ht="25.05" customHeight="1" x14ac:dyDescent="0.3">
      <c r="C58" s="22"/>
      <c r="D58" s="22"/>
      <c r="E58" s="22"/>
      <c r="F58" s="22"/>
      <c r="G58" s="22"/>
      <c r="H58" s="54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54"/>
    </row>
    <row r="59" spans="3:25" ht="25.05" customHeight="1" x14ac:dyDescent="0.3">
      <c r="C59" s="22"/>
      <c r="D59" s="22"/>
      <c r="E59" s="22"/>
      <c r="F59" s="22"/>
      <c r="G59" s="22"/>
      <c r="H59" s="54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54"/>
    </row>
    <row r="60" spans="3:25" ht="25.05" customHeight="1" x14ac:dyDescent="0.3">
      <c r="C60" s="22"/>
      <c r="D60" s="22"/>
      <c r="E60" s="22"/>
      <c r="F60" s="22"/>
      <c r="G60" s="22"/>
      <c r="H60" s="54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54"/>
    </row>
    <row r="61" spans="3:25" ht="25.05" customHeight="1" x14ac:dyDescent="0.3">
      <c r="C61" s="22"/>
      <c r="D61" s="22"/>
      <c r="E61" s="22"/>
      <c r="F61" s="22"/>
      <c r="G61" s="22"/>
      <c r="H61" s="54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54"/>
    </row>
    <row r="62" spans="3:25" ht="25.05" customHeight="1" x14ac:dyDescent="0.3">
      <c r="C62" s="22"/>
      <c r="D62" s="22"/>
      <c r="E62" s="22"/>
      <c r="F62" s="22"/>
      <c r="G62" s="22"/>
      <c r="H62" s="54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54"/>
    </row>
    <row r="63" spans="3:25" ht="25.05" customHeight="1" x14ac:dyDescent="0.3">
      <c r="C63" s="22"/>
      <c r="D63" s="22"/>
      <c r="E63" s="22"/>
      <c r="F63" s="22"/>
      <c r="G63" s="22"/>
      <c r="H63" s="54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54"/>
    </row>
    <row r="64" spans="3:25" ht="25.05" customHeight="1" x14ac:dyDescent="0.3">
      <c r="C64" s="22"/>
      <c r="D64" s="22"/>
      <c r="E64" s="22"/>
      <c r="F64" s="22"/>
      <c r="G64" s="22"/>
      <c r="H64" s="54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54"/>
    </row>
    <row r="65" spans="3:25" ht="25.05" customHeight="1" x14ac:dyDescent="0.3">
      <c r="C65" s="22"/>
      <c r="D65" s="22"/>
      <c r="E65" s="22"/>
      <c r="F65" s="22"/>
      <c r="G65" s="22"/>
      <c r="H65" s="54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54"/>
    </row>
    <row r="66" spans="3:25" ht="25.05" customHeight="1" x14ac:dyDescent="0.3">
      <c r="C66" s="22"/>
      <c r="D66" s="22"/>
      <c r="E66" s="22"/>
      <c r="F66" s="22"/>
      <c r="G66" s="22"/>
      <c r="H66" s="54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54"/>
    </row>
    <row r="67" spans="3:25" ht="25.05" customHeight="1" x14ac:dyDescent="0.3">
      <c r="C67" s="22"/>
      <c r="D67" s="22"/>
      <c r="E67" s="22"/>
      <c r="F67" s="22"/>
      <c r="G67" s="22"/>
      <c r="H67" s="54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54"/>
    </row>
    <row r="68" spans="3:25" ht="25.05" customHeight="1" x14ac:dyDescent="0.3">
      <c r="C68" s="22"/>
      <c r="D68" s="22"/>
      <c r="E68" s="22"/>
      <c r="F68" s="22"/>
      <c r="G68" s="22"/>
      <c r="H68" s="54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54"/>
    </row>
    <row r="69" spans="3:25" ht="25.05" customHeight="1" x14ac:dyDescent="0.3">
      <c r="C69" s="22"/>
      <c r="D69" s="22"/>
      <c r="E69" s="22"/>
      <c r="F69" s="22"/>
      <c r="G69" s="22"/>
      <c r="H69" s="54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54"/>
    </row>
    <row r="70" spans="3:25" ht="25.05" customHeight="1" x14ac:dyDescent="0.3">
      <c r="C70" s="22"/>
      <c r="D70" s="22"/>
      <c r="E70" s="22"/>
      <c r="F70" s="22"/>
      <c r="G70" s="22"/>
      <c r="H70" s="54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54"/>
    </row>
    <row r="71" spans="3:25" ht="25.05" customHeight="1" x14ac:dyDescent="0.3">
      <c r="C71" s="22"/>
      <c r="D71" s="22"/>
      <c r="E71" s="22"/>
      <c r="F71" s="22"/>
      <c r="G71" s="22"/>
      <c r="H71" s="54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54"/>
    </row>
    <row r="72" spans="3:25" ht="25.05" customHeight="1" x14ac:dyDescent="0.3">
      <c r="C72" s="22"/>
      <c r="D72" s="22"/>
      <c r="E72" s="22"/>
      <c r="F72" s="22"/>
      <c r="G72" s="22"/>
      <c r="H72" s="54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54"/>
    </row>
    <row r="73" spans="3:25" ht="25.05" customHeight="1" x14ac:dyDescent="0.3">
      <c r="C73" s="22"/>
      <c r="D73" s="22"/>
      <c r="E73" s="22"/>
      <c r="F73" s="22"/>
      <c r="G73" s="22"/>
      <c r="H73" s="54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54"/>
    </row>
    <row r="74" spans="3:25" ht="25.05" customHeight="1" x14ac:dyDescent="0.3">
      <c r="C74" s="22"/>
      <c r="D74" s="22"/>
      <c r="E74" s="22"/>
      <c r="F74" s="22"/>
      <c r="G74" s="22"/>
      <c r="H74" s="54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54"/>
    </row>
    <row r="75" spans="3:25" ht="25.05" customHeight="1" x14ac:dyDescent="0.3">
      <c r="C75" s="22"/>
      <c r="D75" s="22"/>
      <c r="E75" s="22"/>
      <c r="F75" s="22"/>
      <c r="G75" s="22"/>
      <c r="H75" s="54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54"/>
    </row>
    <row r="76" spans="3:25" ht="25.05" customHeight="1" x14ac:dyDescent="0.3">
      <c r="C76" s="22"/>
      <c r="D76" s="22"/>
      <c r="E76" s="22"/>
      <c r="F76" s="22"/>
      <c r="G76" s="22"/>
      <c r="H76" s="54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54"/>
    </row>
    <row r="77" spans="3:25" ht="25.05" customHeight="1" x14ac:dyDescent="0.3">
      <c r="C77" s="22"/>
      <c r="D77" s="22"/>
      <c r="E77" s="22"/>
      <c r="F77" s="22"/>
      <c r="G77" s="22"/>
      <c r="H77" s="54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54"/>
    </row>
    <row r="78" spans="3:25" ht="25.05" customHeight="1" x14ac:dyDescent="0.3">
      <c r="C78" s="22"/>
      <c r="D78" s="22"/>
      <c r="E78" s="22"/>
      <c r="F78" s="22"/>
      <c r="G78" s="22"/>
      <c r="H78" s="54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2"/>
      <c r="W78" s="22"/>
      <c r="X78" s="22"/>
      <c r="Y78" s="54"/>
    </row>
    <row r="79" spans="3:25" ht="25.05" customHeight="1" x14ac:dyDescent="0.3">
      <c r="C79" s="22"/>
      <c r="D79" s="22"/>
      <c r="E79" s="22"/>
      <c r="F79" s="22"/>
      <c r="G79" s="22"/>
      <c r="H79" s="54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2"/>
      <c r="W79" s="22"/>
      <c r="X79" s="22"/>
      <c r="Y79" s="54"/>
    </row>
    <row r="80" spans="3:25" ht="25.05" customHeight="1" x14ac:dyDescent="0.3">
      <c r="C80" s="22"/>
      <c r="D80" s="22"/>
      <c r="E80" s="22"/>
      <c r="F80" s="22"/>
      <c r="G80" s="22"/>
      <c r="H80" s="54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2"/>
      <c r="W80" s="22"/>
      <c r="X80" s="22"/>
      <c r="Y80" s="54"/>
    </row>
    <row r="81" spans="3:25" ht="25.05" customHeight="1" x14ac:dyDescent="0.3">
      <c r="C81" s="22"/>
      <c r="D81" s="22"/>
      <c r="E81" s="22"/>
      <c r="F81" s="22"/>
      <c r="G81" s="22"/>
      <c r="H81" s="54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2"/>
      <c r="W81" s="22"/>
      <c r="X81" s="22"/>
      <c r="Y81" s="54"/>
    </row>
    <row r="82" spans="3:25" ht="25.05" customHeight="1" x14ac:dyDescent="0.3">
      <c r="C82" s="22"/>
      <c r="D82" s="22"/>
      <c r="E82" s="22"/>
      <c r="F82" s="22"/>
      <c r="G82" s="22"/>
      <c r="H82" s="54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54"/>
    </row>
    <row r="83" spans="3:25" ht="25.05" customHeight="1" x14ac:dyDescent="0.3">
      <c r="C83" s="22"/>
      <c r="D83" s="22"/>
      <c r="E83" s="22"/>
      <c r="F83" s="22"/>
      <c r="G83" s="22"/>
      <c r="H83" s="54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54"/>
    </row>
    <row r="84" spans="3:25" ht="25.05" customHeight="1" x14ac:dyDescent="0.3">
      <c r="C84" s="22"/>
      <c r="D84" s="22"/>
      <c r="E84" s="22"/>
      <c r="F84" s="22"/>
      <c r="G84" s="22"/>
      <c r="H84" s="54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54"/>
    </row>
    <row r="85" spans="3:25" ht="25.05" customHeight="1" x14ac:dyDescent="0.3">
      <c r="C85" s="22"/>
      <c r="D85" s="22"/>
      <c r="E85" s="22"/>
      <c r="F85" s="22"/>
      <c r="G85" s="22"/>
      <c r="H85" s="54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54"/>
    </row>
    <row r="86" spans="3:25" ht="25.05" customHeight="1" x14ac:dyDescent="0.3"/>
    <row r="87" spans="3:25" ht="25.05" customHeight="1" x14ac:dyDescent="0.3"/>
    <row r="88" spans="3:25" ht="25.05" customHeight="1" x14ac:dyDescent="0.3"/>
    <row r="89" spans="3:25" ht="25.05" customHeight="1" x14ac:dyDescent="0.3"/>
    <row r="90" spans="3:25" ht="25.05" customHeight="1" x14ac:dyDescent="0.3"/>
    <row r="91" spans="3:25" ht="25.05" customHeight="1" x14ac:dyDescent="0.3"/>
    <row r="92" spans="3:25" ht="25.05" customHeight="1" x14ac:dyDescent="0.3"/>
    <row r="93" spans="3:25" ht="25.05" customHeight="1" x14ac:dyDescent="0.3"/>
    <row r="94" spans="3:25" ht="25.05" customHeight="1" x14ac:dyDescent="0.3"/>
    <row r="95" spans="3:25" ht="25.05" customHeight="1" x14ac:dyDescent="0.3"/>
    <row r="96" spans="3:25" ht="25.05" customHeight="1" x14ac:dyDescent="0.3"/>
  </sheetData>
  <mergeCells count="28">
    <mergeCell ref="W38:X38"/>
    <mergeCell ref="Q39:Y39"/>
    <mergeCell ref="F51:P51"/>
    <mergeCell ref="D34:E34"/>
    <mergeCell ref="D35:E35"/>
    <mergeCell ref="D36:E36"/>
    <mergeCell ref="D37:E37"/>
    <mergeCell ref="C42:D42"/>
    <mergeCell ref="C43:D43"/>
    <mergeCell ref="B39:J39"/>
    <mergeCell ref="C41:G41"/>
    <mergeCell ref="K37:P37"/>
    <mergeCell ref="S35:X35"/>
    <mergeCell ref="C49:F49"/>
    <mergeCell ref="B15:J15"/>
    <mergeCell ref="D12:G12"/>
    <mergeCell ref="D17:I17"/>
    <mergeCell ref="E3:S3"/>
    <mergeCell ref="E2:S2"/>
    <mergeCell ref="D33:E33"/>
    <mergeCell ref="H18:X18"/>
    <mergeCell ref="C18:G18"/>
    <mergeCell ref="I33:K33"/>
    <mergeCell ref="C28:G28"/>
    <mergeCell ref="C29:G29"/>
    <mergeCell ref="C30:G30"/>
    <mergeCell ref="C31:W31"/>
    <mergeCell ref="V32:W32"/>
  </mergeCells>
  <hyperlinks>
    <hyperlink ref="D9" r:id="rId1" display="mailto:alexander.boyle@crispin.com" xr:uid="{15FADBCE-9E96-43D1-B5DD-734DEE795E91}"/>
  </hyperlinks>
  <pageMargins left="0.7" right="0.7" top="0.75" bottom="0.75" header="0.3" footer="0.3"/>
  <pageSetup scale="3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DE72A-6320-4F01-A7A0-BE94DCB6670A}">
  <dimension ref="B1:Y88"/>
  <sheetViews>
    <sheetView tabSelected="1" topLeftCell="C17" zoomScale="70" zoomScaleNormal="70" workbookViewId="0">
      <selection activeCell="I46" sqref="I46"/>
    </sheetView>
  </sheetViews>
  <sheetFormatPr defaultColWidth="9.109375" defaultRowHeight="13.8" x14ac:dyDescent="0.3"/>
  <cols>
    <col min="1" max="1" width="9.109375" style="4"/>
    <col min="2" max="2" width="10.33203125" style="4" customWidth="1"/>
    <col min="3" max="3" width="33.5546875" style="4" customWidth="1"/>
    <col min="4" max="4" width="21.77734375" style="4" customWidth="1"/>
    <col min="5" max="5" width="19.6640625" style="4" customWidth="1"/>
    <col min="6" max="6" width="14.88671875" style="4" customWidth="1"/>
    <col min="7" max="7" width="13.77734375" style="4" customWidth="1"/>
    <col min="8" max="8" width="16.109375" style="5" customWidth="1"/>
    <col min="9" max="16" width="9.33203125" style="4" customWidth="1"/>
    <col min="17" max="17" width="12.44140625" style="4" customWidth="1"/>
    <col min="18" max="18" width="9.33203125" style="4" customWidth="1"/>
    <col min="19" max="20" width="12" style="4" customWidth="1"/>
    <col min="21" max="21" width="9.33203125" style="4" customWidth="1"/>
    <col min="22" max="22" width="9.6640625" style="4" customWidth="1"/>
    <col min="23" max="23" width="11.5546875" style="4" customWidth="1"/>
    <col min="24" max="24" width="22" style="4" customWidth="1"/>
    <col min="25" max="25" width="24.88671875" style="5" customWidth="1"/>
    <col min="26" max="16384" width="9.109375" style="4"/>
  </cols>
  <sheetData>
    <row r="1" spans="2:25" ht="19.95" customHeight="1" x14ac:dyDescent="0.3"/>
    <row r="2" spans="2:25" ht="19.95" customHeight="1" x14ac:dyDescent="0.3">
      <c r="E2" s="136" t="s">
        <v>16</v>
      </c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136"/>
      <c r="Y2" s="110"/>
    </row>
    <row r="3" spans="2:25" ht="19.95" customHeight="1" x14ac:dyDescent="0.25">
      <c r="E3" s="135" t="s">
        <v>65</v>
      </c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</row>
    <row r="4" spans="2:25" ht="19.95" customHeight="1" x14ac:dyDescent="0.3"/>
    <row r="5" spans="2:25" ht="19.95" customHeight="1" x14ac:dyDescent="0.3"/>
    <row r="6" spans="2:25" s="1" customFormat="1" ht="15.6" x14ac:dyDescent="0.3">
      <c r="C6" s="105" t="s">
        <v>17</v>
      </c>
      <c r="D6" s="89" t="s">
        <v>62</v>
      </c>
      <c r="E6" s="90"/>
      <c r="F6" s="90"/>
      <c r="G6" s="90"/>
      <c r="H6" s="91"/>
      <c r="I6" s="92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2"/>
      <c r="X6" s="11"/>
      <c r="Y6" s="11"/>
    </row>
    <row r="7" spans="2:25" s="1" customFormat="1" ht="15.6" x14ac:dyDescent="0.3">
      <c r="C7" s="106" t="s">
        <v>18</v>
      </c>
      <c r="D7" s="93" t="s">
        <v>30</v>
      </c>
      <c r="E7" s="94"/>
      <c r="F7" s="94"/>
      <c r="G7" s="94"/>
      <c r="H7" s="13"/>
      <c r="I7" s="95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2"/>
      <c r="X7" s="11"/>
      <c r="Y7" s="11"/>
    </row>
    <row r="8" spans="2:25" s="1" customFormat="1" ht="15.6" x14ac:dyDescent="0.3">
      <c r="C8" s="106" t="s">
        <v>0</v>
      </c>
      <c r="D8" s="93" t="s">
        <v>54</v>
      </c>
      <c r="E8" s="96"/>
      <c r="F8" s="96"/>
      <c r="G8" s="96"/>
      <c r="H8" s="13"/>
      <c r="I8" s="97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3"/>
    </row>
    <row r="9" spans="2:25" s="1" customFormat="1" ht="18.75" customHeight="1" x14ac:dyDescent="0.3">
      <c r="C9" s="106" t="s">
        <v>1</v>
      </c>
      <c r="D9" s="98" t="s">
        <v>53</v>
      </c>
      <c r="E9" s="14"/>
      <c r="F9" s="14"/>
      <c r="G9" s="14"/>
      <c r="H9" s="15"/>
      <c r="I9" s="99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5"/>
    </row>
    <row r="10" spans="2:25" s="1" customFormat="1" ht="18.75" customHeight="1" x14ac:dyDescent="0.3">
      <c r="C10" s="106" t="s">
        <v>11</v>
      </c>
      <c r="D10" s="100" t="s">
        <v>12</v>
      </c>
      <c r="E10" s="17"/>
      <c r="F10" s="17"/>
      <c r="G10" s="17"/>
      <c r="H10" s="15"/>
      <c r="I10" s="99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5"/>
    </row>
    <row r="11" spans="2:25" s="1" customFormat="1" ht="18.75" customHeight="1" x14ac:dyDescent="0.3">
      <c r="C11" s="106" t="s">
        <v>13</v>
      </c>
      <c r="D11" s="100" t="s">
        <v>26</v>
      </c>
      <c r="E11" s="17"/>
      <c r="F11" s="17"/>
      <c r="G11" s="17"/>
      <c r="H11" s="15"/>
      <c r="I11" s="99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5"/>
    </row>
    <row r="12" spans="2:25" s="1" customFormat="1" ht="18.75" customHeight="1" x14ac:dyDescent="0.3">
      <c r="C12" s="106" t="s">
        <v>44</v>
      </c>
      <c r="D12" s="132" t="s">
        <v>55</v>
      </c>
      <c r="E12" s="133"/>
      <c r="F12" s="133"/>
      <c r="G12" s="133"/>
      <c r="H12" s="15"/>
      <c r="I12" s="99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5"/>
    </row>
    <row r="13" spans="2:25" s="1" customFormat="1" ht="15.6" x14ac:dyDescent="0.3">
      <c r="C13" s="114" t="s">
        <v>64</v>
      </c>
      <c r="D13" s="104">
        <v>46288</v>
      </c>
      <c r="E13" s="101"/>
      <c r="F13" s="101"/>
      <c r="G13" s="101"/>
      <c r="H13" s="102"/>
      <c r="I13" s="103"/>
      <c r="J13" s="12"/>
      <c r="K13" s="12"/>
      <c r="L13" s="12"/>
      <c r="M13" s="12"/>
      <c r="N13" s="12"/>
      <c r="O13" s="12"/>
      <c r="P13" s="12"/>
      <c r="Q13" s="12"/>
      <c r="R13" s="12"/>
      <c r="S13" s="18"/>
      <c r="T13" s="18"/>
      <c r="U13" s="12"/>
      <c r="V13" s="12"/>
      <c r="W13" s="12"/>
      <c r="X13" s="12"/>
      <c r="Y13" s="13"/>
    </row>
    <row r="14" spans="2:25" x14ac:dyDescent="0.3">
      <c r="C14" s="19"/>
      <c r="D14" s="20"/>
      <c r="E14" s="20"/>
      <c r="F14" s="20"/>
      <c r="G14" s="20"/>
      <c r="H14" s="21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1"/>
    </row>
    <row r="15" spans="2:25" s="108" customFormat="1" ht="31.2" customHeight="1" x14ac:dyDescent="0.4">
      <c r="B15" s="131" t="s">
        <v>57</v>
      </c>
      <c r="C15" s="131"/>
      <c r="D15" s="131"/>
      <c r="E15" s="131"/>
      <c r="F15" s="131"/>
      <c r="G15" s="131"/>
      <c r="H15" s="131"/>
      <c r="I15" s="131"/>
      <c r="J15" s="131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  <c r="Y15" s="107"/>
    </row>
    <row r="16" spans="2:25" s="10" customFormat="1" ht="31.2" customHeight="1" x14ac:dyDescent="0.3">
      <c r="B16" s="9"/>
      <c r="C16" s="23"/>
      <c r="D16" s="23"/>
      <c r="E16" s="23"/>
      <c r="F16" s="23"/>
      <c r="G16" s="23"/>
      <c r="H16" s="24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</row>
    <row r="17" spans="2:25" s="2" customFormat="1" ht="21" customHeight="1" x14ac:dyDescent="0.3">
      <c r="C17" s="26"/>
      <c r="D17" s="134" t="s">
        <v>58</v>
      </c>
      <c r="E17" s="134"/>
      <c r="F17" s="134"/>
      <c r="G17" s="134"/>
      <c r="H17" s="134"/>
      <c r="I17" s="134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8"/>
    </row>
    <row r="18" spans="2:25" ht="40.799999999999997" customHeight="1" x14ac:dyDescent="0.4">
      <c r="C18" s="122" t="s">
        <v>42</v>
      </c>
      <c r="D18" s="122"/>
      <c r="E18" s="122"/>
      <c r="F18" s="122"/>
      <c r="G18" s="122"/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29"/>
    </row>
    <row r="19" spans="2:25" s="1" customFormat="1" ht="45.75" customHeight="1" x14ac:dyDescent="0.3">
      <c r="C19" s="30" t="s">
        <v>3</v>
      </c>
      <c r="D19" s="31" t="s">
        <v>2</v>
      </c>
      <c r="E19" s="30" t="s">
        <v>59</v>
      </c>
      <c r="F19" s="32" t="s">
        <v>60</v>
      </c>
      <c r="G19" s="85" t="s">
        <v>39</v>
      </c>
      <c r="H19" s="86">
        <v>46335</v>
      </c>
      <c r="I19" s="86">
        <f>H19+7</f>
        <v>46342</v>
      </c>
      <c r="J19" s="86">
        <f t="shared" ref="J19:V19" si="0">I19+7</f>
        <v>46349</v>
      </c>
      <c r="K19" s="86">
        <f t="shared" si="0"/>
        <v>46356</v>
      </c>
      <c r="L19" s="86">
        <f t="shared" si="0"/>
        <v>46363</v>
      </c>
      <c r="M19" s="86">
        <f t="shared" si="0"/>
        <v>46370</v>
      </c>
      <c r="N19" s="86">
        <f t="shared" si="0"/>
        <v>46377</v>
      </c>
      <c r="O19" s="86">
        <f t="shared" si="0"/>
        <v>46384</v>
      </c>
      <c r="P19" s="86">
        <f t="shared" si="0"/>
        <v>46391</v>
      </c>
      <c r="Q19" s="86">
        <f t="shared" si="0"/>
        <v>46398</v>
      </c>
      <c r="R19" s="86">
        <f t="shared" si="0"/>
        <v>46405</v>
      </c>
      <c r="S19" s="86">
        <f t="shared" si="0"/>
        <v>46412</v>
      </c>
      <c r="T19" s="86">
        <f t="shared" si="0"/>
        <v>46419</v>
      </c>
      <c r="U19" s="86">
        <f t="shared" si="0"/>
        <v>46426</v>
      </c>
      <c r="V19" s="86">
        <f t="shared" si="0"/>
        <v>46433</v>
      </c>
      <c r="W19" s="116" t="s">
        <v>19</v>
      </c>
      <c r="X19" s="33" t="s">
        <v>43</v>
      </c>
      <c r="Y19" s="58" t="s">
        <v>63</v>
      </c>
    </row>
    <row r="20" spans="2:25" s="1" customFormat="1" ht="25.8" customHeight="1" x14ac:dyDescent="0.3">
      <c r="B20" s="7"/>
      <c r="C20" s="34" t="s">
        <v>6</v>
      </c>
      <c r="D20" s="35" t="s">
        <v>5</v>
      </c>
      <c r="E20" s="36">
        <v>180</v>
      </c>
      <c r="F20" s="37">
        <v>141.18</v>
      </c>
      <c r="G20" s="87" t="s">
        <v>40</v>
      </c>
      <c r="H20" s="38">
        <v>3</v>
      </c>
      <c r="I20" s="38">
        <v>3</v>
      </c>
      <c r="J20" s="38">
        <v>3</v>
      </c>
      <c r="K20" s="38">
        <v>3</v>
      </c>
      <c r="L20" s="38">
        <v>3</v>
      </c>
      <c r="M20" s="38">
        <v>3</v>
      </c>
      <c r="N20" s="38">
        <v>3</v>
      </c>
      <c r="O20" s="38">
        <v>3</v>
      </c>
      <c r="P20" s="38">
        <v>3</v>
      </c>
      <c r="Q20" s="38">
        <v>3</v>
      </c>
      <c r="R20" s="38">
        <v>3</v>
      </c>
      <c r="S20" s="38">
        <v>3</v>
      </c>
      <c r="T20" s="38">
        <v>3</v>
      </c>
      <c r="U20" s="38">
        <v>3</v>
      </c>
      <c r="V20" s="38">
        <v>3</v>
      </c>
      <c r="W20" s="39">
        <f t="shared" ref="W20:W27" si="1">SUM(H20:V20)</f>
        <v>45</v>
      </c>
      <c r="X20" s="40">
        <f t="shared" ref="X20:X27" si="2">W20*E20</f>
        <v>8100</v>
      </c>
      <c r="Y20" s="41">
        <f t="shared" ref="Y20:Y27" si="3">W20*F20</f>
        <v>6353.1</v>
      </c>
    </row>
    <row r="21" spans="2:25" s="1" customFormat="1" ht="26.4" customHeight="1" x14ac:dyDescent="0.3">
      <c r="B21" s="7"/>
      <c r="C21" s="34" t="s">
        <v>4</v>
      </c>
      <c r="D21" s="35" t="s">
        <v>24</v>
      </c>
      <c r="E21" s="36">
        <v>180</v>
      </c>
      <c r="F21" s="37">
        <v>141.18</v>
      </c>
      <c r="G21" s="87" t="s">
        <v>40</v>
      </c>
      <c r="H21" s="38">
        <v>3</v>
      </c>
      <c r="I21" s="38">
        <v>3</v>
      </c>
      <c r="J21" s="38">
        <v>3</v>
      </c>
      <c r="K21" s="38">
        <v>3</v>
      </c>
      <c r="L21" s="38">
        <v>3</v>
      </c>
      <c r="M21" s="38">
        <v>3</v>
      </c>
      <c r="N21" s="38">
        <v>3</v>
      </c>
      <c r="O21" s="38">
        <v>3</v>
      </c>
      <c r="P21" s="38">
        <v>3</v>
      </c>
      <c r="Q21" s="38">
        <v>3</v>
      </c>
      <c r="R21" s="38">
        <v>3</v>
      </c>
      <c r="S21" s="38">
        <v>3</v>
      </c>
      <c r="T21" s="38">
        <v>3</v>
      </c>
      <c r="U21" s="38">
        <v>3</v>
      </c>
      <c r="V21" s="38">
        <v>3</v>
      </c>
      <c r="W21" s="39">
        <f t="shared" si="1"/>
        <v>45</v>
      </c>
      <c r="X21" s="40">
        <f t="shared" si="2"/>
        <v>8100</v>
      </c>
      <c r="Y21" s="41">
        <f t="shared" si="3"/>
        <v>6353.1</v>
      </c>
    </row>
    <row r="22" spans="2:25" s="1" customFormat="1" ht="24.6" customHeight="1" x14ac:dyDescent="0.3">
      <c r="B22" s="7"/>
      <c r="C22" s="34" t="s">
        <v>21</v>
      </c>
      <c r="D22" s="35" t="s">
        <v>22</v>
      </c>
      <c r="E22" s="36">
        <v>140</v>
      </c>
      <c r="F22" s="37">
        <v>117.65</v>
      </c>
      <c r="G22" s="87" t="s">
        <v>40</v>
      </c>
      <c r="H22" s="38">
        <v>3</v>
      </c>
      <c r="I22" s="38">
        <v>3</v>
      </c>
      <c r="J22" s="38">
        <v>3</v>
      </c>
      <c r="K22" s="38">
        <v>3</v>
      </c>
      <c r="L22" s="38">
        <v>3</v>
      </c>
      <c r="M22" s="38">
        <v>3</v>
      </c>
      <c r="N22" s="38">
        <v>3</v>
      </c>
      <c r="O22" s="38">
        <v>3</v>
      </c>
      <c r="P22" s="38">
        <v>3</v>
      </c>
      <c r="Q22" s="38">
        <v>3</v>
      </c>
      <c r="R22" s="38">
        <v>3</v>
      </c>
      <c r="S22" s="38">
        <v>3</v>
      </c>
      <c r="T22" s="38">
        <v>3</v>
      </c>
      <c r="U22" s="38">
        <v>3</v>
      </c>
      <c r="V22" s="38">
        <v>3</v>
      </c>
      <c r="W22" s="39">
        <f t="shared" si="1"/>
        <v>45</v>
      </c>
      <c r="X22" s="40">
        <f t="shared" si="2"/>
        <v>6300</v>
      </c>
      <c r="Y22" s="41">
        <f t="shared" si="3"/>
        <v>5294.25</v>
      </c>
    </row>
    <row r="23" spans="2:25" s="1" customFormat="1" ht="41.4" customHeight="1" x14ac:dyDescent="0.3">
      <c r="B23" s="7"/>
      <c r="C23" s="34" t="s">
        <v>7</v>
      </c>
      <c r="D23" s="35" t="s">
        <v>20</v>
      </c>
      <c r="E23" s="36">
        <v>140</v>
      </c>
      <c r="F23" s="37">
        <v>117.65</v>
      </c>
      <c r="G23" s="87" t="s">
        <v>40</v>
      </c>
      <c r="H23" s="38">
        <v>3</v>
      </c>
      <c r="I23" s="38">
        <v>3</v>
      </c>
      <c r="J23" s="38">
        <v>3</v>
      </c>
      <c r="K23" s="38">
        <v>3</v>
      </c>
      <c r="L23" s="38">
        <v>3</v>
      </c>
      <c r="M23" s="38">
        <v>3</v>
      </c>
      <c r="N23" s="38">
        <v>3</v>
      </c>
      <c r="O23" s="38">
        <v>3</v>
      </c>
      <c r="P23" s="38">
        <v>3</v>
      </c>
      <c r="Q23" s="38">
        <v>3</v>
      </c>
      <c r="R23" s="38">
        <v>3</v>
      </c>
      <c r="S23" s="38">
        <v>3</v>
      </c>
      <c r="T23" s="38">
        <v>3</v>
      </c>
      <c r="U23" s="38">
        <v>3</v>
      </c>
      <c r="V23" s="38">
        <v>3</v>
      </c>
      <c r="W23" s="39">
        <f t="shared" si="1"/>
        <v>45</v>
      </c>
      <c r="X23" s="40">
        <f t="shared" si="2"/>
        <v>6300</v>
      </c>
      <c r="Y23" s="41">
        <f t="shared" si="3"/>
        <v>5294.25</v>
      </c>
    </row>
    <row r="24" spans="2:25" s="1" customFormat="1" ht="30.6" customHeight="1" x14ac:dyDescent="0.3">
      <c r="B24" s="7"/>
      <c r="C24" s="34" t="s">
        <v>14</v>
      </c>
      <c r="D24" s="35" t="s">
        <v>10</v>
      </c>
      <c r="E24" s="36">
        <v>60</v>
      </c>
      <c r="F24" s="37">
        <v>0</v>
      </c>
      <c r="G24" s="87" t="s">
        <v>41</v>
      </c>
      <c r="H24" s="38">
        <v>3</v>
      </c>
      <c r="I24" s="38">
        <v>3</v>
      </c>
      <c r="J24" s="38">
        <v>3</v>
      </c>
      <c r="K24" s="38">
        <v>3</v>
      </c>
      <c r="L24" s="38">
        <v>3</v>
      </c>
      <c r="M24" s="38">
        <v>3</v>
      </c>
      <c r="N24" s="38">
        <v>3</v>
      </c>
      <c r="O24" s="38">
        <v>3</v>
      </c>
      <c r="P24" s="38">
        <v>3</v>
      </c>
      <c r="Q24" s="38">
        <v>3</v>
      </c>
      <c r="R24" s="38">
        <v>3</v>
      </c>
      <c r="S24" s="38">
        <v>3</v>
      </c>
      <c r="T24" s="38">
        <v>3</v>
      </c>
      <c r="U24" s="38">
        <v>3</v>
      </c>
      <c r="V24" s="38">
        <v>3</v>
      </c>
      <c r="W24" s="39">
        <f t="shared" si="1"/>
        <v>45</v>
      </c>
      <c r="X24" s="40">
        <f t="shared" si="2"/>
        <v>2700</v>
      </c>
      <c r="Y24" s="41">
        <f t="shared" si="3"/>
        <v>0</v>
      </c>
    </row>
    <row r="25" spans="2:25" s="1" customFormat="1" ht="30.6" customHeight="1" x14ac:dyDescent="0.3">
      <c r="B25" s="7"/>
      <c r="C25" s="34" t="s">
        <v>15</v>
      </c>
      <c r="D25" s="35" t="s">
        <v>10</v>
      </c>
      <c r="E25" s="36">
        <v>60</v>
      </c>
      <c r="F25" s="37">
        <v>0</v>
      </c>
      <c r="G25" s="87" t="s">
        <v>41</v>
      </c>
      <c r="H25" s="38">
        <v>3</v>
      </c>
      <c r="I25" s="38">
        <v>3</v>
      </c>
      <c r="J25" s="38">
        <v>3</v>
      </c>
      <c r="K25" s="38">
        <v>3</v>
      </c>
      <c r="L25" s="38">
        <v>3</v>
      </c>
      <c r="M25" s="38">
        <v>3</v>
      </c>
      <c r="N25" s="38">
        <v>3</v>
      </c>
      <c r="O25" s="38">
        <v>3</v>
      </c>
      <c r="P25" s="38">
        <v>3</v>
      </c>
      <c r="Q25" s="38">
        <v>3</v>
      </c>
      <c r="R25" s="38">
        <v>3</v>
      </c>
      <c r="S25" s="38">
        <v>3</v>
      </c>
      <c r="T25" s="38">
        <v>3</v>
      </c>
      <c r="U25" s="38">
        <v>3</v>
      </c>
      <c r="V25" s="38">
        <v>3</v>
      </c>
      <c r="W25" s="39">
        <f t="shared" si="1"/>
        <v>45</v>
      </c>
      <c r="X25" s="40">
        <f t="shared" si="2"/>
        <v>2700</v>
      </c>
      <c r="Y25" s="41">
        <f t="shared" si="3"/>
        <v>0</v>
      </c>
    </row>
    <row r="26" spans="2:25" s="1" customFormat="1" ht="34.5" customHeight="1" x14ac:dyDescent="0.3">
      <c r="B26" s="7"/>
      <c r="C26" s="34" t="s">
        <v>8</v>
      </c>
      <c r="D26" s="35" t="s">
        <v>10</v>
      </c>
      <c r="E26" s="36">
        <f>42.5/0.85</f>
        <v>50</v>
      </c>
      <c r="F26" s="37">
        <v>0</v>
      </c>
      <c r="G26" s="87" t="s">
        <v>41</v>
      </c>
      <c r="H26" s="38">
        <v>3</v>
      </c>
      <c r="I26" s="38">
        <v>3</v>
      </c>
      <c r="J26" s="38">
        <v>3</v>
      </c>
      <c r="K26" s="38">
        <v>3</v>
      </c>
      <c r="L26" s="38">
        <v>3</v>
      </c>
      <c r="M26" s="38">
        <v>3</v>
      </c>
      <c r="N26" s="38">
        <v>3</v>
      </c>
      <c r="O26" s="38">
        <v>3</v>
      </c>
      <c r="P26" s="38">
        <v>3</v>
      </c>
      <c r="Q26" s="38">
        <v>3</v>
      </c>
      <c r="R26" s="38">
        <v>3</v>
      </c>
      <c r="S26" s="38">
        <v>3</v>
      </c>
      <c r="T26" s="38">
        <v>3</v>
      </c>
      <c r="U26" s="38">
        <v>3</v>
      </c>
      <c r="V26" s="38">
        <v>3</v>
      </c>
      <c r="W26" s="39">
        <f t="shared" si="1"/>
        <v>45</v>
      </c>
      <c r="X26" s="40">
        <f t="shared" si="2"/>
        <v>2250</v>
      </c>
      <c r="Y26" s="41">
        <f t="shared" si="3"/>
        <v>0</v>
      </c>
    </row>
    <row r="27" spans="2:25" s="1" customFormat="1" ht="34.5" customHeight="1" x14ac:dyDescent="0.3">
      <c r="B27" s="8"/>
      <c r="C27" s="34" t="s">
        <v>9</v>
      </c>
      <c r="D27" s="35" t="s">
        <v>10</v>
      </c>
      <c r="E27" s="36">
        <f>42.5/0.85</f>
        <v>50</v>
      </c>
      <c r="F27" s="37">
        <v>0</v>
      </c>
      <c r="G27" s="87" t="s">
        <v>41</v>
      </c>
      <c r="H27" s="38">
        <v>3</v>
      </c>
      <c r="I27" s="38">
        <v>3</v>
      </c>
      <c r="J27" s="38">
        <v>3</v>
      </c>
      <c r="K27" s="38">
        <v>3</v>
      </c>
      <c r="L27" s="38">
        <v>3</v>
      </c>
      <c r="M27" s="38">
        <v>3</v>
      </c>
      <c r="N27" s="38">
        <v>3</v>
      </c>
      <c r="O27" s="38">
        <v>3</v>
      </c>
      <c r="P27" s="38">
        <v>3</v>
      </c>
      <c r="Q27" s="38">
        <v>3</v>
      </c>
      <c r="R27" s="38">
        <v>3</v>
      </c>
      <c r="S27" s="38">
        <v>3</v>
      </c>
      <c r="T27" s="38">
        <v>3</v>
      </c>
      <c r="U27" s="38">
        <v>3</v>
      </c>
      <c r="V27" s="38">
        <v>3</v>
      </c>
      <c r="W27" s="39">
        <f t="shared" si="1"/>
        <v>45</v>
      </c>
      <c r="X27" s="42">
        <f t="shared" si="2"/>
        <v>2250</v>
      </c>
      <c r="Y27" s="43">
        <f t="shared" si="3"/>
        <v>0</v>
      </c>
    </row>
    <row r="28" spans="2:25" s="6" customFormat="1" ht="31.5" customHeight="1" x14ac:dyDescent="0.35">
      <c r="C28" s="124" t="s">
        <v>33</v>
      </c>
      <c r="D28" s="124"/>
      <c r="E28" s="124"/>
      <c r="F28" s="124"/>
      <c r="G28" s="124"/>
      <c r="H28" s="111">
        <f>SUM(H20:H23)</f>
        <v>12</v>
      </c>
      <c r="I28" s="111">
        <f t="shared" ref="I28:V28" si="4">SUM(I20:I23)</f>
        <v>12</v>
      </c>
      <c r="J28" s="111">
        <f t="shared" si="4"/>
        <v>12</v>
      </c>
      <c r="K28" s="111">
        <f t="shared" si="4"/>
        <v>12</v>
      </c>
      <c r="L28" s="111">
        <f t="shared" si="4"/>
        <v>12</v>
      </c>
      <c r="M28" s="111">
        <f t="shared" si="4"/>
        <v>12</v>
      </c>
      <c r="N28" s="111">
        <f t="shared" si="4"/>
        <v>12</v>
      </c>
      <c r="O28" s="111">
        <f t="shared" si="4"/>
        <v>12</v>
      </c>
      <c r="P28" s="111">
        <f t="shared" si="4"/>
        <v>12</v>
      </c>
      <c r="Q28" s="111">
        <f t="shared" si="4"/>
        <v>12</v>
      </c>
      <c r="R28" s="111">
        <f t="shared" si="4"/>
        <v>12</v>
      </c>
      <c r="S28" s="111">
        <f t="shared" si="4"/>
        <v>12</v>
      </c>
      <c r="T28" s="111">
        <f t="shared" si="4"/>
        <v>12</v>
      </c>
      <c r="U28" s="111">
        <f t="shared" si="4"/>
        <v>12</v>
      </c>
      <c r="V28" s="111">
        <f t="shared" si="4"/>
        <v>12</v>
      </c>
      <c r="W28" s="88">
        <f>SUM(W20:W23)</f>
        <v>180</v>
      </c>
      <c r="X28" s="67">
        <f>SUM(X20:X23)</f>
        <v>28800</v>
      </c>
      <c r="Y28" s="68">
        <f>SUM(Y20:Y27)</f>
        <v>23294.7</v>
      </c>
    </row>
    <row r="29" spans="2:25" s="6" customFormat="1" ht="31.5" customHeight="1" x14ac:dyDescent="0.35">
      <c r="C29" s="124" t="s">
        <v>34</v>
      </c>
      <c r="D29" s="124"/>
      <c r="E29" s="124"/>
      <c r="F29" s="124"/>
      <c r="G29" s="124"/>
      <c r="H29" s="111">
        <f>SUM(H24:H27)</f>
        <v>12</v>
      </c>
      <c r="I29" s="111">
        <f t="shared" ref="I29:V29" si="5">SUM(I24:I27)</f>
        <v>12</v>
      </c>
      <c r="J29" s="111">
        <f t="shared" si="5"/>
        <v>12</v>
      </c>
      <c r="K29" s="111">
        <f t="shared" si="5"/>
        <v>12</v>
      </c>
      <c r="L29" s="111">
        <f t="shared" si="5"/>
        <v>12</v>
      </c>
      <c r="M29" s="111">
        <f t="shared" si="5"/>
        <v>12</v>
      </c>
      <c r="N29" s="111">
        <f t="shared" si="5"/>
        <v>12</v>
      </c>
      <c r="O29" s="111">
        <f t="shared" si="5"/>
        <v>12</v>
      </c>
      <c r="P29" s="111">
        <f t="shared" si="5"/>
        <v>12</v>
      </c>
      <c r="Q29" s="111">
        <f t="shared" si="5"/>
        <v>12</v>
      </c>
      <c r="R29" s="111">
        <f t="shared" si="5"/>
        <v>12</v>
      </c>
      <c r="S29" s="111">
        <f t="shared" si="5"/>
        <v>12</v>
      </c>
      <c r="T29" s="111">
        <f t="shared" si="5"/>
        <v>12</v>
      </c>
      <c r="U29" s="111">
        <f t="shared" si="5"/>
        <v>12</v>
      </c>
      <c r="V29" s="111">
        <f t="shared" si="5"/>
        <v>12</v>
      </c>
      <c r="W29" s="88">
        <f>SUM(W24:W27)</f>
        <v>180</v>
      </c>
      <c r="X29" s="69">
        <f t="shared" ref="X29:Y29" si="6">SUM(X24:X27)</f>
        <v>9900</v>
      </c>
      <c r="Y29" s="70">
        <f t="shared" si="6"/>
        <v>0</v>
      </c>
    </row>
    <row r="30" spans="2:25" s="6" customFormat="1" ht="31.5" customHeight="1" x14ac:dyDescent="0.35">
      <c r="C30" s="125" t="s">
        <v>35</v>
      </c>
      <c r="D30" s="125"/>
      <c r="E30" s="125"/>
      <c r="F30" s="125"/>
      <c r="G30" s="125"/>
      <c r="H30" s="113">
        <f t="shared" ref="H30:V30" si="7">SUM(H28:H29)</f>
        <v>24</v>
      </c>
      <c r="I30" s="113">
        <f t="shared" si="7"/>
        <v>24</v>
      </c>
      <c r="J30" s="113">
        <f t="shared" si="7"/>
        <v>24</v>
      </c>
      <c r="K30" s="113">
        <f t="shared" si="7"/>
        <v>24</v>
      </c>
      <c r="L30" s="113">
        <f t="shared" si="7"/>
        <v>24</v>
      </c>
      <c r="M30" s="113">
        <f t="shared" si="7"/>
        <v>24</v>
      </c>
      <c r="N30" s="113">
        <f t="shared" si="7"/>
        <v>24</v>
      </c>
      <c r="O30" s="113">
        <f t="shared" si="7"/>
        <v>24</v>
      </c>
      <c r="P30" s="113">
        <f t="shared" si="7"/>
        <v>24</v>
      </c>
      <c r="Q30" s="113">
        <f t="shared" si="7"/>
        <v>24</v>
      </c>
      <c r="R30" s="113">
        <f t="shared" si="7"/>
        <v>24</v>
      </c>
      <c r="S30" s="113">
        <f t="shared" si="7"/>
        <v>24</v>
      </c>
      <c r="T30" s="113">
        <f t="shared" si="7"/>
        <v>24</v>
      </c>
      <c r="U30" s="113">
        <f t="shared" si="7"/>
        <v>24</v>
      </c>
      <c r="V30" s="113">
        <f t="shared" si="7"/>
        <v>24</v>
      </c>
      <c r="W30" s="112">
        <f>SUM(W28:W29)</f>
        <v>360</v>
      </c>
      <c r="X30" s="71">
        <f>SUM(X28:X29)</f>
        <v>38700</v>
      </c>
      <c r="Y30" s="72">
        <f>Y28</f>
        <v>23294.7</v>
      </c>
    </row>
    <row r="31" spans="2:25" s="6" customFormat="1" ht="31.5" customHeight="1" x14ac:dyDescent="0.3">
      <c r="C31" s="126" t="s">
        <v>49</v>
      </c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/>
      <c r="P31" s="127"/>
      <c r="Q31" s="127"/>
      <c r="R31" s="127"/>
      <c r="S31" s="127"/>
      <c r="T31" s="127"/>
      <c r="U31" s="127"/>
      <c r="V31" s="127"/>
      <c r="W31" s="128"/>
      <c r="X31" s="73">
        <f>SUM(X30:X30)</f>
        <v>38700</v>
      </c>
      <c r="Y31" s="74">
        <f>SUM(Y30:Y30)</f>
        <v>23294.7</v>
      </c>
    </row>
    <row r="32" spans="2:25" s="3" customFormat="1" ht="28.5" customHeight="1" x14ac:dyDescent="0.35"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129" t="s">
        <v>61</v>
      </c>
      <c r="W32" s="130"/>
      <c r="X32" s="118">
        <f>(X31-Y31)/X31</f>
        <v>0.39806976744186046</v>
      </c>
      <c r="Y32" s="45"/>
    </row>
    <row r="33" spans="3:25" s="3" customFormat="1" ht="28.5" customHeight="1" x14ac:dyDescent="0.35">
      <c r="C33" s="46" t="s">
        <v>45</v>
      </c>
      <c r="D33" s="119" t="s">
        <v>27</v>
      </c>
      <c r="E33" s="119"/>
      <c r="F33" s="44"/>
      <c r="G33" s="44"/>
      <c r="H33" s="75"/>
      <c r="I33" s="123"/>
      <c r="J33" s="123"/>
      <c r="K33" s="123"/>
      <c r="L33" s="115"/>
      <c r="M33" s="115"/>
      <c r="N33" s="115"/>
      <c r="O33" s="55"/>
      <c r="P33" s="55"/>
      <c r="Q33" s="55"/>
      <c r="R33" s="109"/>
      <c r="S33" s="109"/>
      <c r="T33" s="109"/>
      <c r="U33" s="109"/>
      <c r="V33" s="109"/>
      <c r="W33" s="45"/>
      <c r="X33" s="45"/>
    </row>
    <row r="34" spans="3:25" s="3" customFormat="1" ht="28.5" customHeight="1" x14ac:dyDescent="0.3">
      <c r="C34" s="76" t="s">
        <v>28</v>
      </c>
      <c r="D34" s="139">
        <v>8477634</v>
      </c>
      <c r="E34" s="139"/>
      <c r="F34" s="75"/>
      <c r="G34" s="75"/>
      <c r="H34" s="75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5"/>
      <c r="X34" s="45"/>
      <c r="Y34" s="45"/>
    </row>
    <row r="35" spans="3:25" s="3" customFormat="1" ht="28.5" customHeight="1" x14ac:dyDescent="0.3">
      <c r="C35" s="76" t="s">
        <v>8</v>
      </c>
      <c r="D35" s="139">
        <v>1933032</v>
      </c>
      <c r="E35" s="139"/>
      <c r="F35" s="75"/>
      <c r="G35" s="75"/>
      <c r="H35" s="75"/>
      <c r="I35" s="44"/>
      <c r="J35" s="44"/>
      <c r="K35" s="44"/>
      <c r="L35" s="44"/>
      <c r="M35" s="44"/>
      <c r="N35" s="44"/>
      <c r="O35" s="60"/>
      <c r="P35" s="60"/>
      <c r="Q35" s="60"/>
      <c r="R35" s="60"/>
      <c r="S35" s="143"/>
      <c r="T35" s="143"/>
      <c r="U35" s="143"/>
      <c r="V35" s="143"/>
      <c r="W35" s="143"/>
      <c r="X35" s="143"/>
      <c r="Y35" s="45"/>
    </row>
    <row r="36" spans="3:25" s="3" customFormat="1" ht="28.5" customHeight="1" x14ac:dyDescent="0.3">
      <c r="C36" s="76" t="s">
        <v>29</v>
      </c>
      <c r="D36" s="139">
        <v>664722</v>
      </c>
      <c r="E36" s="139"/>
      <c r="F36" s="75"/>
      <c r="G36" s="75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5"/>
      <c r="X36" s="44"/>
      <c r="Y36" s="45"/>
    </row>
    <row r="37" spans="3:25" s="3" customFormat="1" ht="28.5" customHeight="1" thickBot="1" x14ac:dyDescent="0.5">
      <c r="C37" s="84" t="s">
        <v>25</v>
      </c>
      <c r="D37" s="140">
        <f>SUM(D34:E36)</f>
        <v>11075388</v>
      </c>
      <c r="E37" s="140"/>
      <c r="F37" s="44"/>
      <c r="G37" s="44"/>
      <c r="H37" s="75"/>
      <c r="I37" s="44"/>
      <c r="J37" s="44"/>
      <c r="K37" s="123" t="s">
        <v>37</v>
      </c>
      <c r="L37" s="123"/>
      <c r="M37" s="123"/>
      <c r="N37" s="123"/>
      <c r="O37" s="123"/>
      <c r="P37" s="123"/>
      <c r="Q37" s="59"/>
      <c r="R37" s="59"/>
      <c r="S37" s="59"/>
      <c r="T37" s="59"/>
      <c r="U37" s="47"/>
      <c r="V37" s="47"/>
      <c r="W37" s="48"/>
      <c r="X37" s="45"/>
      <c r="Y37" s="45"/>
    </row>
    <row r="38" spans="3:25" s="3" customFormat="1" ht="30" customHeight="1" x14ac:dyDescent="0.35"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137"/>
      <c r="X38" s="137"/>
      <c r="Y38" s="45"/>
    </row>
    <row r="39" spans="3:25" ht="30" customHeight="1" x14ac:dyDescent="0.4">
      <c r="C39" s="52"/>
      <c r="D39" s="61"/>
      <c r="E39" s="61"/>
      <c r="F39" s="52"/>
      <c r="G39" s="52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117"/>
      <c r="X39" s="50"/>
      <c r="Y39" s="51"/>
    </row>
    <row r="40" spans="3:25" s="77" customFormat="1" ht="25.05" customHeight="1" x14ac:dyDescent="0.45">
      <c r="C40" s="49" t="s">
        <v>31</v>
      </c>
      <c r="H40" s="78"/>
      <c r="Y40" s="78"/>
    </row>
    <row r="41" spans="3:25" ht="25.05" customHeight="1" x14ac:dyDescent="0.35">
      <c r="C41" s="144" t="s">
        <v>36</v>
      </c>
      <c r="D41" s="144"/>
      <c r="E41" s="144"/>
      <c r="F41" s="144"/>
      <c r="G41" s="53"/>
      <c r="H41" s="54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54"/>
    </row>
    <row r="42" spans="3:25" ht="25.05" customHeight="1" x14ac:dyDescent="0.4">
      <c r="C42" s="55" t="s">
        <v>32</v>
      </c>
      <c r="D42" s="22"/>
      <c r="E42" s="22"/>
      <c r="F42" s="22"/>
      <c r="G42" s="22"/>
      <c r="H42" s="56"/>
      <c r="I42" s="57"/>
      <c r="J42" s="57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2"/>
      <c r="W42" s="22"/>
      <c r="X42" s="22"/>
      <c r="Y42" s="54"/>
    </row>
    <row r="43" spans="3:25" ht="25.05" customHeight="1" x14ac:dyDescent="0.35">
      <c r="C43" s="55"/>
      <c r="D43" s="22"/>
      <c r="E43" s="22"/>
      <c r="F43" s="138" t="s">
        <v>38</v>
      </c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22"/>
      <c r="R43" s="22"/>
      <c r="S43" s="22"/>
      <c r="T43" s="22"/>
      <c r="U43" s="22"/>
      <c r="V43" s="22"/>
      <c r="W43" s="22"/>
      <c r="X43" s="22"/>
      <c r="Y43" s="54"/>
    </row>
    <row r="44" spans="3:25" ht="25.05" customHeight="1" x14ac:dyDescent="0.3">
      <c r="C44" s="22"/>
      <c r="D44" s="22"/>
      <c r="E44" s="22"/>
      <c r="F44" s="22"/>
      <c r="G44" s="22"/>
      <c r="H44" s="54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54"/>
    </row>
    <row r="45" spans="3:25" ht="25.05" customHeight="1" x14ac:dyDescent="0.3">
      <c r="C45" s="22"/>
      <c r="D45" s="22"/>
      <c r="E45" s="22"/>
      <c r="F45" s="22"/>
      <c r="G45" s="22"/>
      <c r="H45" s="54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54"/>
    </row>
    <row r="46" spans="3:25" ht="25.05" customHeight="1" x14ac:dyDescent="0.3">
      <c r="C46" s="22"/>
      <c r="D46" s="22"/>
      <c r="E46" s="22"/>
      <c r="F46" s="22"/>
      <c r="G46" s="22"/>
      <c r="H46" s="54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54"/>
    </row>
    <row r="47" spans="3:25" ht="25.05" customHeight="1" x14ac:dyDescent="0.3">
      <c r="C47" s="22"/>
      <c r="D47" s="22"/>
      <c r="E47" s="22"/>
      <c r="F47" s="22"/>
      <c r="G47" s="22"/>
      <c r="H47" s="54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54"/>
    </row>
    <row r="48" spans="3:25" ht="25.05" customHeight="1" x14ac:dyDescent="0.3">
      <c r="C48" s="22"/>
      <c r="D48" s="22"/>
      <c r="E48" s="22"/>
      <c r="F48" s="22"/>
      <c r="G48" s="22"/>
      <c r="H48" s="54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54"/>
    </row>
    <row r="49" spans="3:25" ht="25.05" customHeight="1" x14ac:dyDescent="0.3">
      <c r="C49" s="22"/>
      <c r="D49" s="22"/>
      <c r="E49" s="22"/>
      <c r="F49" s="22"/>
      <c r="G49" s="22"/>
      <c r="H49" s="54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54"/>
    </row>
    <row r="50" spans="3:25" ht="25.05" customHeight="1" x14ac:dyDescent="0.3">
      <c r="C50" s="22"/>
      <c r="D50" s="22"/>
      <c r="E50" s="22"/>
      <c r="F50" s="22"/>
      <c r="G50" s="22"/>
      <c r="H50" s="54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2"/>
      <c r="W50" s="22"/>
      <c r="X50" s="22"/>
      <c r="Y50" s="54"/>
    </row>
    <row r="51" spans="3:25" ht="25.05" customHeight="1" x14ac:dyDescent="0.3">
      <c r="C51" s="22"/>
      <c r="D51" s="22"/>
      <c r="E51" s="22"/>
      <c r="F51" s="22"/>
      <c r="G51" s="22"/>
      <c r="H51" s="54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54"/>
    </row>
    <row r="52" spans="3:25" ht="25.05" customHeight="1" x14ac:dyDescent="0.3">
      <c r="C52" s="22"/>
      <c r="D52" s="22"/>
      <c r="E52" s="22"/>
      <c r="F52" s="22"/>
      <c r="G52" s="22"/>
      <c r="H52" s="54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54"/>
    </row>
    <row r="53" spans="3:25" ht="25.05" customHeight="1" x14ac:dyDescent="0.3">
      <c r="C53" s="22"/>
      <c r="D53" s="22"/>
      <c r="E53" s="22"/>
      <c r="F53" s="22"/>
      <c r="G53" s="22"/>
      <c r="H53" s="54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54"/>
    </row>
    <row r="54" spans="3:25" ht="25.05" customHeight="1" x14ac:dyDescent="0.3">
      <c r="C54" s="22"/>
      <c r="D54" s="22"/>
      <c r="E54" s="22"/>
      <c r="F54" s="22"/>
      <c r="G54" s="22"/>
      <c r="H54" s="54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54"/>
    </row>
    <row r="55" spans="3:25" ht="25.05" customHeight="1" x14ac:dyDescent="0.3">
      <c r="C55" s="22"/>
      <c r="D55" s="22"/>
      <c r="E55" s="22"/>
      <c r="F55" s="22"/>
      <c r="G55" s="22"/>
      <c r="H55" s="54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54"/>
    </row>
    <row r="56" spans="3:25" ht="25.05" customHeight="1" x14ac:dyDescent="0.3">
      <c r="C56" s="22"/>
      <c r="D56" s="22"/>
      <c r="E56" s="22"/>
      <c r="F56" s="22"/>
      <c r="G56" s="22"/>
      <c r="H56" s="54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2"/>
      <c r="W56" s="22"/>
      <c r="X56" s="22"/>
      <c r="Y56" s="54"/>
    </row>
    <row r="57" spans="3:25" ht="25.05" customHeight="1" x14ac:dyDescent="0.3">
      <c r="C57" s="22"/>
      <c r="D57" s="22"/>
      <c r="E57" s="22"/>
      <c r="F57" s="22"/>
      <c r="G57" s="22"/>
      <c r="H57" s="54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2"/>
      <c r="W57" s="22"/>
      <c r="X57" s="22"/>
      <c r="Y57" s="54"/>
    </row>
    <row r="58" spans="3:25" ht="25.05" customHeight="1" x14ac:dyDescent="0.3">
      <c r="C58" s="22"/>
      <c r="D58" s="22"/>
      <c r="E58" s="22"/>
      <c r="F58" s="22"/>
      <c r="G58" s="22"/>
      <c r="H58" s="54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54"/>
    </row>
    <row r="59" spans="3:25" ht="25.05" customHeight="1" x14ac:dyDescent="0.3">
      <c r="C59" s="22"/>
      <c r="D59" s="22"/>
      <c r="E59" s="22"/>
      <c r="F59" s="22"/>
      <c r="G59" s="22"/>
      <c r="H59" s="54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54"/>
    </row>
    <row r="60" spans="3:25" ht="25.05" customHeight="1" x14ac:dyDescent="0.3">
      <c r="C60" s="22"/>
      <c r="D60" s="22"/>
      <c r="E60" s="22"/>
      <c r="F60" s="22"/>
      <c r="G60" s="22"/>
      <c r="H60" s="54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54"/>
    </row>
    <row r="61" spans="3:25" ht="25.05" customHeight="1" x14ac:dyDescent="0.3">
      <c r="C61" s="22"/>
      <c r="D61" s="22"/>
      <c r="E61" s="22"/>
      <c r="F61" s="22"/>
      <c r="G61" s="22"/>
      <c r="H61" s="54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54"/>
    </row>
    <row r="62" spans="3:25" ht="25.05" customHeight="1" x14ac:dyDescent="0.3">
      <c r="C62" s="22"/>
      <c r="D62" s="22"/>
      <c r="E62" s="22"/>
      <c r="F62" s="22"/>
      <c r="G62" s="22"/>
      <c r="H62" s="54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54"/>
    </row>
    <row r="63" spans="3:25" ht="25.05" customHeight="1" x14ac:dyDescent="0.3">
      <c r="C63" s="22"/>
      <c r="D63" s="22"/>
      <c r="E63" s="22"/>
      <c r="F63" s="22"/>
      <c r="G63" s="22"/>
      <c r="H63" s="54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54"/>
    </row>
    <row r="64" spans="3:25" ht="25.05" customHeight="1" x14ac:dyDescent="0.3">
      <c r="C64" s="22"/>
      <c r="D64" s="22"/>
      <c r="E64" s="22"/>
      <c r="F64" s="22"/>
      <c r="G64" s="22"/>
      <c r="H64" s="54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54"/>
    </row>
    <row r="65" spans="3:25" ht="25.05" customHeight="1" x14ac:dyDescent="0.3">
      <c r="C65" s="22"/>
      <c r="D65" s="22"/>
      <c r="E65" s="22"/>
      <c r="F65" s="22"/>
      <c r="G65" s="22"/>
      <c r="H65" s="54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2"/>
      <c r="W65" s="22"/>
      <c r="X65" s="22"/>
      <c r="Y65" s="54"/>
    </row>
    <row r="66" spans="3:25" ht="25.05" customHeight="1" x14ac:dyDescent="0.3">
      <c r="C66" s="22"/>
      <c r="D66" s="22"/>
      <c r="E66" s="22"/>
      <c r="F66" s="22"/>
      <c r="G66" s="22"/>
      <c r="H66" s="54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2"/>
      <c r="W66" s="22"/>
      <c r="X66" s="22"/>
      <c r="Y66" s="54"/>
    </row>
    <row r="67" spans="3:25" ht="25.05" customHeight="1" x14ac:dyDescent="0.3">
      <c r="C67" s="22"/>
      <c r="D67" s="22"/>
      <c r="E67" s="22"/>
      <c r="F67" s="22"/>
      <c r="G67" s="22"/>
      <c r="H67" s="54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2"/>
      <c r="W67" s="22"/>
      <c r="X67" s="22"/>
      <c r="Y67" s="54"/>
    </row>
    <row r="68" spans="3:25" ht="25.05" customHeight="1" x14ac:dyDescent="0.3">
      <c r="C68" s="22"/>
      <c r="D68" s="22"/>
      <c r="E68" s="22"/>
      <c r="F68" s="22"/>
      <c r="G68" s="22"/>
      <c r="H68" s="54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54"/>
    </row>
    <row r="69" spans="3:25" ht="25.05" customHeight="1" x14ac:dyDescent="0.3">
      <c r="C69" s="22"/>
      <c r="D69" s="22"/>
      <c r="E69" s="22"/>
      <c r="F69" s="22"/>
      <c r="G69" s="22"/>
      <c r="H69" s="54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2"/>
      <c r="W69" s="22"/>
      <c r="X69" s="22"/>
      <c r="Y69" s="54"/>
    </row>
    <row r="70" spans="3:25" ht="25.05" customHeight="1" x14ac:dyDescent="0.3">
      <c r="C70" s="22"/>
      <c r="D70" s="22"/>
      <c r="E70" s="22"/>
      <c r="F70" s="22"/>
      <c r="G70" s="22"/>
      <c r="H70" s="54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2"/>
      <c r="W70" s="22"/>
      <c r="X70" s="22"/>
      <c r="Y70" s="54"/>
    </row>
    <row r="71" spans="3:25" ht="25.05" customHeight="1" x14ac:dyDescent="0.3">
      <c r="C71" s="22"/>
      <c r="D71" s="22"/>
      <c r="E71" s="22"/>
      <c r="F71" s="22"/>
      <c r="G71" s="22"/>
      <c r="H71" s="54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2"/>
      <c r="W71" s="22"/>
      <c r="X71" s="22"/>
      <c r="Y71" s="54"/>
    </row>
    <row r="72" spans="3:25" ht="25.05" customHeight="1" x14ac:dyDescent="0.3">
      <c r="C72" s="22"/>
      <c r="D72" s="22"/>
      <c r="E72" s="22"/>
      <c r="F72" s="22"/>
      <c r="G72" s="22"/>
      <c r="H72" s="54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54"/>
    </row>
    <row r="73" spans="3:25" ht="25.05" customHeight="1" x14ac:dyDescent="0.3">
      <c r="C73" s="22"/>
      <c r="D73" s="22"/>
      <c r="E73" s="22"/>
      <c r="F73" s="22"/>
      <c r="G73" s="22"/>
      <c r="H73" s="54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22"/>
      <c r="Y73" s="54"/>
    </row>
    <row r="74" spans="3:25" ht="25.05" customHeight="1" x14ac:dyDescent="0.3">
      <c r="C74" s="22"/>
      <c r="D74" s="22"/>
      <c r="E74" s="22"/>
      <c r="F74" s="22"/>
      <c r="G74" s="22"/>
      <c r="H74" s="54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2"/>
      <c r="W74" s="22"/>
      <c r="X74" s="22"/>
      <c r="Y74" s="54"/>
    </row>
    <row r="75" spans="3:25" ht="25.05" customHeight="1" x14ac:dyDescent="0.3">
      <c r="C75" s="22"/>
      <c r="D75" s="22"/>
      <c r="E75" s="22"/>
      <c r="F75" s="22"/>
      <c r="G75" s="22"/>
      <c r="H75" s="54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2"/>
      <c r="W75" s="22"/>
      <c r="X75" s="22"/>
      <c r="Y75" s="54"/>
    </row>
    <row r="76" spans="3:25" ht="25.05" customHeight="1" x14ac:dyDescent="0.3">
      <c r="C76" s="22"/>
      <c r="D76" s="22"/>
      <c r="E76" s="22"/>
      <c r="F76" s="22"/>
      <c r="G76" s="22"/>
      <c r="H76" s="54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2"/>
      <c r="W76" s="22"/>
      <c r="X76" s="22"/>
      <c r="Y76" s="54"/>
    </row>
    <row r="77" spans="3:25" ht="25.05" customHeight="1" x14ac:dyDescent="0.3">
      <c r="C77" s="22"/>
      <c r="D77" s="22"/>
      <c r="E77" s="22"/>
      <c r="F77" s="22"/>
      <c r="G77" s="22"/>
      <c r="H77" s="54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2"/>
      <c r="W77" s="22"/>
      <c r="X77" s="22"/>
      <c r="Y77" s="54"/>
    </row>
    <row r="78" spans="3:25" ht="25.05" customHeight="1" x14ac:dyDescent="0.3"/>
    <row r="79" spans="3:25" ht="25.05" customHeight="1" x14ac:dyDescent="0.3"/>
    <row r="80" spans="3:25" ht="25.05" customHeight="1" x14ac:dyDescent="0.3"/>
    <row r="81" ht="25.05" customHeight="1" x14ac:dyDescent="0.3"/>
    <row r="82" ht="25.05" customHeight="1" x14ac:dyDescent="0.3"/>
    <row r="83" ht="25.05" customHeight="1" x14ac:dyDescent="0.3"/>
    <row r="84" ht="25.05" customHeight="1" x14ac:dyDescent="0.3"/>
    <row r="85" ht="25.05" customHeight="1" x14ac:dyDescent="0.3"/>
    <row r="86" ht="25.05" customHeight="1" x14ac:dyDescent="0.3"/>
    <row r="87" ht="25.05" customHeight="1" x14ac:dyDescent="0.3"/>
    <row r="88" ht="25.05" customHeight="1" x14ac:dyDescent="0.3"/>
  </sheetData>
  <mergeCells count="23">
    <mergeCell ref="C18:G18"/>
    <mergeCell ref="H18:X18"/>
    <mergeCell ref="E2:S2"/>
    <mergeCell ref="E3:S3"/>
    <mergeCell ref="D12:G12"/>
    <mergeCell ref="B15:J15"/>
    <mergeCell ref="D17:I17"/>
    <mergeCell ref="D36:E36"/>
    <mergeCell ref="C28:G28"/>
    <mergeCell ref="C29:G29"/>
    <mergeCell ref="C30:G30"/>
    <mergeCell ref="C31:W31"/>
    <mergeCell ref="V32:W32"/>
    <mergeCell ref="D33:E33"/>
    <mergeCell ref="I33:K33"/>
    <mergeCell ref="D34:E34"/>
    <mergeCell ref="D35:E35"/>
    <mergeCell ref="S35:X35"/>
    <mergeCell ref="C41:F41"/>
    <mergeCell ref="F43:P43"/>
    <mergeCell ref="D37:E37"/>
    <mergeCell ref="K37:P37"/>
    <mergeCell ref="W38:X38"/>
  </mergeCells>
  <hyperlinks>
    <hyperlink ref="D9" r:id="rId1" display="mailto:alexander.boyle@crispin.com" xr:uid="{866CE275-EDE4-485F-928C-BA3D0CF7AAB9}"/>
  </hyperlinks>
  <pageMargins left="0.7" right="0.7" top="0.75" bottom="0.75" header="0.3" footer="0.3"/>
  <pageSetup scale="30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new creative</vt:lpstr>
      <vt:lpstr>REUSE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Legendary Era</dc:creator>
  <cp:lastModifiedBy>Charmaine Lane</cp:lastModifiedBy>
  <cp:lastPrinted>2025-09-30T16:35:56Z</cp:lastPrinted>
  <dcterms:created xsi:type="dcterms:W3CDTF">2019-02-14T23:51:44Z</dcterms:created>
  <dcterms:modified xsi:type="dcterms:W3CDTF">2026-09-24T18:42:50Z</dcterms:modified>
</cp:coreProperties>
</file>