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/>
  <workbookPr/>
  <mc:AlternateContent xmlns:mc="http://schemas.openxmlformats.org/markup-compatibility/2006">
    <mc:Choice Requires="x15">
      <x15ac:absPath xmlns:x15ac="http://schemas.microsoft.com/office/spreadsheetml/2010/11/ac" url="C:\Work Temp\!New\!Orders\"/>
    </mc:Choice>
  </mc:AlternateContent>
  <xr:revisionPtr revIDLastSave="0" documentId="8_{55AE68A1-2C30-490A-A2F1-FAB9722DE1E9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BAAQMD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7" l="1"/>
  <c r="E43" i="7"/>
  <c r="S28" i="7"/>
  <c r="T28" i="7"/>
  <c r="U28" i="7"/>
  <c r="S29" i="7"/>
  <c r="T29" i="7"/>
  <c r="U29" i="7"/>
  <c r="I19" i="7"/>
  <c r="D38" i="7"/>
  <c r="V20" i="7"/>
  <c r="W20" i="7" s="1"/>
  <c r="E45" i="7" l="1"/>
  <c r="S30" i="7"/>
  <c r="T30" i="7"/>
  <c r="U30" i="7"/>
  <c r="J19" i="7"/>
  <c r="X20" i="7"/>
  <c r="K19" i="7" l="1"/>
  <c r="L19" i="7" s="1"/>
  <c r="M19" i="7" s="1"/>
  <c r="N19" i="7" s="1"/>
  <c r="O19" i="7" s="1"/>
  <c r="P19" i="7" s="1"/>
  <c r="Q19" i="7" s="1"/>
  <c r="R19" i="7" s="1"/>
  <c r="R29" i="7"/>
  <c r="Q29" i="7"/>
  <c r="P29" i="7"/>
  <c r="O29" i="7"/>
  <c r="N29" i="7"/>
  <c r="M29" i="7"/>
  <c r="L29" i="7"/>
  <c r="K29" i="7"/>
  <c r="J29" i="7"/>
  <c r="I29" i="7"/>
  <c r="H29" i="7"/>
  <c r="R28" i="7"/>
  <c r="Q28" i="7"/>
  <c r="P28" i="7"/>
  <c r="O28" i="7"/>
  <c r="N28" i="7"/>
  <c r="M28" i="7"/>
  <c r="L28" i="7"/>
  <c r="K28" i="7"/>
  <c r="J28" i="7"/>
  <c r="I28" i="7"/>
  <c r="H28" i="7"/>
  <c r="V27" i="7"/>
  <c r="X27" i="7" s="1"/>
  <c r="V26" i="7"/>
  <c r="W26" i="7" s="1"/>
  <c r="V25" i="7"/>
  <c r="X25" i="7" s="1"/>
  <c r="V24" i="7"/>
  <c r="X24" i="7" s="1"/>
  <c r="V23" i="7"/>
  <c r="X23" i="7" s="1"/>
  <c r="V22" i="7"/>
  <c r="X22" i="7" s="1"/>
  <c r="V21" i="7"/>
  <c r="X21" i="7" s="1"/>
  <c r="S19" i="7" l="1"/>
  <c r="T19" i="7" s="1"/>
  <c r="U19" i="7" s="1"/>
  <c r="P30" i="7"/>
  <c r="M30" i="7"/>
  <c r="H30" i="7"/>
  <c r="O30" i="7"/>
  <c r="J30" i="7"/>
  <c r="R30" i="7"/>
  <c r="L30" i="7"/>
  <c r="Q30" i="7"/>
  <c r="I30" i="7"/>
  <c r="K30" i="7"/>
  <c r="N30" i="7"/>
  <c r="V28" i="7"/>
  <c r="W24" i="7"/>
  <c r="W22" i="7"/>
  <c r="W25" i="7"/>
  <c r="W23" i="7"/>
  <c r="W21" i="7"/>
  <c r="X26" i="7"/>
  <c r="X29" i="7" s="1"/>
  <c r="V29" i="7"/>
  <c r="W27" i="7"/>
  <c r="W29" i="7" l="1"/>
  <c r="W28" i="7"/>
  <c r="V30" i="7"/>
  <c r="X28" i="7"/>
  <c r="X30" i="7" s="1"/>
  <c r="X32" i="7" s="1"/>
  <c r="W30" i="7" l="1"/>
  <c r="W32" i="7" s="1"/>
  <c r="W33" i="7" s="1"/>
</calcChain>
</file>

<file path=xl/sharedStrings.xml><?xml version="1.0" encoding="utf-8"?>
<sst xmlns="http://schemas.openxmlformats.org/spreadsheetml/2006/main" count="76" uniqueCount="66">
  <si>
    <t>Contact</t>
  </si>
  <si>
    <t>Email</t>
  </si>
  <si>
    <t>Daypart</t>
  </si>
  <si>
    <t>Language</t>
  </si>
  <si>
    <t>Mandarin News</t>
  </si>
  <si>
    <t>M-F 7p-8p</t>
  </si>
  <si>
    <t>Cantonese News</t>
  </si>
  <si>
    <t>Vietnamese News /Variety</t>
  </si>
  <si>
    <t>Filipino</t>
  </si>
  <si>
    <t xml:space="preserve">Vietnamese </t>
  </si>
  <si>
    <t>ROS</t>
  </si>
  <si>
    <t>Station</t>
  </si>
  <si>
    <t>Crossings TV</t>
  </si>
  <si>
    <t>Languages</t>
  </si>
  <si>
    <t>Cantonese</t>
  </si>
  <si>
    <t>Mandarin</t>
  </si>
  <si>
    <t>Crossings TV:  BAAQMD</t>
  </si>
  <si>
    <t>Agency</t>
  </si>
  <si>
    <t>Advertiser</t>
  </si>
  <si>
    <t>Total Spots</t>
  </si>
  <si>
    <t>M-Sun 11a-1p</t>
  </si>
  <si>
    <t>Filipino News/Talk</t>
  </si>
  <si>
    <t>M-F 6p-7p</t>
  </si>
  <si>
    <t xml:space="preserve">Discounted </t>
  </si>
  <si>
    <t>M-Sun  8p-9p</t>
  </si>
  <si>
    <t>Total</t>
  </si>
  <si>
    <t>Cantonese, Mandarin, Tagalog,  Vietnamese</t>
  </si>
  <si>
    <t>Estimated Impressions</t>
  </si>
  <si>
    <t>Chinese</t>
  </si>
  <si>
    <t>Vietnamese</t>
  </si>
  <si>
    <t>Bay Area Quality Management District</t>
  </si>
  <si>
    <t>Digital Banner Ad- Added value</t>
  </si>
  <si>
    <t>during the campaign period.</t>
  </si>
  <si>
    <t>Total Paid</t>
  </si>
  <si>
    <t>Total Bonuses</t>
  </si>
  <si>
    <t>Total (Paid+Bonuses)</t>
  </si>
  <si>
    <t xml:space="preserve">Crossings TV will place  a banner ad for Bay Area AQMD; </t>
  </si>
  <si>
    <t>Approved by</t>
  </si>
  <si>
    <t>Client Signature</t>
  </si>
  <si>
    <t>Thank you and we appreciate your partnership.</t>
  </si>
  <si>
    <t>Length</t>
  </si>
  <si>
    <t>:30s</t>
  </si>
  <si>
    <t>:15s</t>
  </si>
  <si>
    <t xml:space="preserve">San Francisco Bay Area - Xfinity Channel 3131 and KQTA 15.3                                                                 </t>
  </si>
  <si>
    <t xml:space="preserve">Total  Value </t>
  </si>
  <si>
    <t>Proposed Contract Amount</t>
  </si>
  <si>
    <t>Payment Terms</t>
  </si>
  <si>
    <t>Target Audience</t>
  </si>
  <si>
    <t xml:space="preserve">  AIRTIME - Weekly Schedule - New Creative for 2026</t>
  </si>
  <si>
    <t>Translation costs ( :30s &amp; :15s)</t>
  </si>
  <si>
    <t>Retail Value( :30seconds TVC)</t>
  </si>
  <si>
    <t>Retail Value   (:15seconds TVC)</t>
  </si>
  <si>
    <t>Total Value</t>
  </si>
  <si>
    <t>Total Amount of Contract</t>
  </si>
  <si>
    <t>Translation services:   New Creative for 2026</t>
  </si>
  <si>
    <t xml:space="preserve">Crossings TV will provide in-language translation services for your new TV commercials </t>
  </si>
  <si>
    <t>Languages includes Mandarin, Cantonese, Vietnamese and Tagalog</t>
  </si>
  <si>
    <t xml:space="preserve">Unit Value                                                  ( standard rate card ) 
</t>
  </si>
  <si>
    <t>Discounted Rate</t>
  </si>
  <si>
    <t>alexander.boyle@crispin.com</t>
  </si>
  <si>
    <t>Alexander Boyle</t>
  </si>
  <si>
    <t>NET 90 DAYS,  Crossings TV will invoice monthly over the course of the campaign</t>
  </si>
  <si>
    <t xml:space="preserve">                                                         Allison + Partners, LLC on behalf of Bay Area Air Quality Management District (Spare the Air)</t>
  </si>
  <si>
    <t xml:space="preserve">estimated start 7/27/ 2026 </t>
  </si>
  <si>
    <t>Revision ( revised the  start date)</t>
  </si>
  <si>
    <t>Crispin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</si>
</sst>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sz val="14"/>
      <color theme="1"/>
      <name val="Century Gothic"/>
      <family val="2"/>
    </font>
    <font>
      <b/>
      <sz val="14"/>
      <color theme="1"/>
      <name val="Century Gothic"/>
      <family val="2"/>
    </font>
    <font>
      <sz val="16"/>
      <color theme="1"/>
      <name val="Century Gothic"/>
      <family val="2"/>
    </font>
    <font>
      <b/>
      <i/>
      <sz val="16"/>
      <color rgb="FFFF0000"/>
      <name val="Century Gothic"/>
      <family val="2"/>
    </font>
    <font>
      <b/>
      <sz val="16"/>
      <color rgb="FFFF0000"/>
      <name val="Century Gothic"/>
      <family val="2"/>
    </font>
    <font>
      <b/>
      <sz val="16"/>
      <color rgb="FF00B0F0"/>
      <name val="Century Gothic"/>
      <family val="2"/>
    </font>
    <font>
      <b/>
      <i/>
      <sz val="16"/>
      <color theme="1"/>
      <name val="Century Gothic"/>
      <family val="2"/>
    </font>
    <font>
      <i/>
      <sz val="16"/>
      <color theme="1"/>
      <name val="Century Gothic"/>
      <family val="2"/>
    </font>
    <font>
      <b/>
      <sz val="16"/>
      <color theme="1"/>
      <name val="Century Gothic"/>
      <family val="2"/>
    </font>
    <font>
      <sz val="12"/>
      <color theme="1"/>
      <name val="Calibri"/>
      <family val="2"/>
    </font>
    <font>
      <b/>
      <sz val="12"/>
      <color indexed="8"/>
      <name val="Aptos Narrow"/>
      <family val="2"/>
    </font>
    <font>
      <sz val="12"/>
      <color theme="1"/>
      <name val="Aptos Narrow"/>
      <family val="2"/>
    </font>
    <font>
      <sz val="12"/>
      <name val="Aptos Narrow"/>
      <family val="2"/>
    </font>
    <font>
      <u/>
      <sz val="12"/>
      <name val="Aptos Narrow"/>
      <family val="2"/>
    </font>
    <font>
      <u/>
      <sz val="12"/>
      <color theme="10"/>
      <name val="Aptos Narrow"/>
      <family val="2"/>
    </font>
    <font>
      <sz val="11"/>
      <color theme="1"/>
      <name val="Aptos Narrow"/>
      <family val="2"/>
    </font>
    <font>
      <b/>
      <sz val="10"/>
      <color indexed="8"/>
      <name val="Aptos Narrow"/>
      <family val="2"/>
    </font>
    <font>
      <sz val="10"/>
      <color theme="1"/>
      <name val="Aptos Narrow"/>
      <family val="2"/>
    </font>
    <font>
      <b/>
      <i/>
      <sz val="16"/>
      <color theme="1"/>
      <name val="Aptos Narrow"/>
      <family val="2"/>
    </font>
    <font>
      <i/>
      <sz val="16"/>
      <color theme="1"/>
      <name val="Aptos Narrow"/>
      <family val="2"/>
    </font>
    <font>
      <b/>
      <u/>
      <sz val="16"/>
      <color indexed="8"/>
      <name val="Aptos Narrow"/>
      <family val="2"/>
    </font>
    <font>
      <sz val="16"/>
      <color theme="1"/>
      <name val="Aptos Narrow"/>
      <family val="2"/>
    </font>
    <font>
      <b/>
      <sz val="16"/>
      <color rgb="FF3399FF"/>
      <name val="Aptos Narrow"/>
      <family val="2"/>
    </font>
    <font>
      <b/>
      <sz val="9"/>
      <color rgb="FF3399FF"/>
      <name val="Aptos Narrow"/>
      <family val="2"/>
    </font>
    <font>
      <b/>
      <sz val="12"/>
      <name val="Aptos Narrow"/>
      <family val="2"/>
    </font>
    <font>
      <b/>
      <sz val="9"/>
      <name val="Aptos Narrow"/>
      <family val="2"/>
    </font>
    <font>
      <sz val="12"/>
      <color theme="1" tint="0.499984740745262"/>
      <name val="Aptos Narrow"/>
      <family val="2"/>
    </font>
    <font>
      <b/>
      <sz val="12"/>
      <color rgb="FFFF0000"/>
      <name val="Aptos Narrow"/>
      <family val="2"/>
    </font>
    <font>
      <b/>
      <sz val="14"/>
      <name val="Aptos Narrow"/>
      <family val="2"/>
    </font>
    <font>
      <sz val="14"/>
      <color theme="1" tint="0.499984740745262"/>
      <name val="Aptos Narrow"/>
      <family val="2"/>
    </font>
    <font>
      <b/>
      <sz val="14"/>
      <color theme="1"/>
      <name val="Aptos Narrow"/>
      <family val="2"/>
    </font>
    <font>
      <sz val="14"/>
      <color theme="1"/>
      <name val="Aptos Narrow"/>
      <family val="2"/>
    </font>
    <font>
      <b/>
      <sz val="16"/>
      <color theme="0"/>
      <name val="Aptos Narrow"/>
      <family val="2"/>
    </font>
    <font>
      <b/>
      <i/>
      <sz val="14"/>
      <color theme="1"/>
      <name val="Aptos Narrow"/>
      <family val="2"/>
    </font>
    <font>
      <b/>
      <i/>
      <sz val="14"/>
      <color rgb="FFFF0000"/>
      <name val="Aptos Narrow"/>
      <family val="2"/>
    </font>
    <font>
      <b/>
      <i/>
      <sz val="18"/>
      <color theme="1"/>
      <name val="Aptos Narrow"/>
      <family val="2"/>
    </font>
    <font>
      <b/>
      <i/>
      <sz val="12"/>
      <name val="Aptos Narrow"/>
      <family val="2"/>
    </font>
    <font>
      <b/>
      <sz val="14"/>
      <color rgb="FFFF0000"/>
      <name val="Aptos Narrow"/>
      <family val="2"/>
    </font>
    <font>
      <b/>
      <i/>
      <sz val="14"/>
      <name val="Aptos Narrow"/>
      <family val="2"/>
    </font>
    <font>
      <b/>
      <i/>
      <sz val="16"/>
      <name val="Aptos Narrow"/>
      <family val="2"/>
    </font>
    <font>
      <sz val="14"/>
      <name val="Aptos Narrow"/>
      <family val="2"/>
    </font>
    <font>
      <b/>
      <i/>
      <sz val="16"/>
      <color rgb="FFC00000"/>
      <name val="Aptos Narrow"/>
      <family val="2"/>
    </font>
    <font>
      <i/>
      <sz val="14"/>
      <color theme="1" tint="0.499984740745262"/>
      <name val="Aptos Narrow"/>
      <family val="2"/>
    </font>
    <font>
      <sz val="18"/>
      <color theme="1"/>
      <name val="Aptos Narrow"/>
      <family val="2"/>
    </font>
    <font>
      <b/>
      <i/>
      <sz val="16"/>
      <color theme="1" tint="0.34998626667073579"/>
      <name val="Century Gothic"/>
      <family val="2"/>
    </font>
    <font>
      <b/>
      <i/>
      <sz val="14"/>
      <color theme="1" tint="0.34998626667073579"/>
      <name val="Aptos Narrow"/>
      <family val="2"/>
    </font>
    <font>
      <b/>
      <i/>
      <sz val="12"/>
      <color theme="1" tint="0.34998626667073579"/>
      <name val="Aptos Narrow"/>
      <family val="2"/>
    </font>
    <font>
      <b/>
      <i/>
      <sz val="16"/>
      <color theme="1" tint="0.34998626667073579"/>
      <name val="Aptos Narrow"/>
      <family val="2"/>
    </font>
    <font>
      <b/>
      <sz val="18"/>
      <color theme="1"/>
      <name val="Aptos Narrow"/>
      <family val="2"/>
    </font>
    <font>
      <b/>
      <sz val="18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7">
    <xf numFmtId="0" fontId="0" fillId="0" borderId="0" xfId="0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vertical="center"/>
    </xf>
    <xf numFmtId="3" fontId="4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8" fillId="0" borderId="0" xfId="2" applyFont="1" applyBorder="1" applyAlignment="1" applyProtection="1">
      <alignment vertical="center"/>
    </xf>
    <xf numFmtId="0" fontId="19" fillId="0" borderId="0" xfId="2" applyFont="1" applyBorder="1" applyAlignment="1" applyProtection="1">
      <alignment horizontal="center" vertical="center"/>
    </xf>
    <xf numFmtId="0" fontId="19" fillId="0" borderId="0" xfId="2" applyFont="1" applyBorder="1" applyAlignment="1" applyProtection="1">
      <alignment vertical="center"/>
    </xf>
    <xf numFmtId="0" fontId="17" fillId="0" borderId="0" xfId="2" applyFont="1" applyBorder="1" applyAlignment="1" applyProtection="1">
      <alignment vertical="center"/>
    </xf>
    <xf numFmtId="16" fontId="16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16" fontId="28" fillId="0" borderId="0" xfId="0" applyNumberFormat="1" applyFont="1" applyAlignment="1">
      <alignment horizontal="center" vertical="center" wrapText="1"/>
    </xf>
    <xf numFmtId="44" fontId="29" fillId="0" borderId="7" xfId="1" applyFont="1" applyFill="1" applyBorder="1" applyAlignment="1">
      <alignment horizontal="center" wrapText="1"/>
    </xf>
    <xf numFmtId="44" fontId="29" fillId="0" borderId="0" xfId="1" applyFont="1" applyFill="1" applyBorder="1" applyAlignment="1">
      <alignment horizontal="center" wrapText="1"/>
    </xf>
    <xf numFmtId="44" fontId="29" fillId="0" borderId="5" xfId="1" applyFont="1" applyFill="1" applyBorder="1" applyAlignment="1">
      <alignment horizontal="center" wrapText="1"/>
    </xf>
    <xf numFmtId="44" fontId="29" fillId="0" borderId="2" xfId="1" applyFont="1" applyFill="1" applyBorder="1" applyAlignment="1">
      <alignment horizontal="center" vertical="center" wrapText="1"/>
    </xf>
    <xf numFmtId="44" fontId="31" fillId="4" borderId="2" xfId="1" applyFont="1" applyFill="1" applyBorder="1" applyAlignment="1">
      <alignment horizontal="center" vertical="center" wrapText="1"/>
    </xf>
    <xf numFmtId="44" fontId="29" fillId="0" borderId="2" xfId="1" applyFont="1" applyFill="1" applyBorder="1" applyAlignment="1">
      <alignment horizontal="center" wrapText="1"/>
    </xf>
    <xf numFmtId="44" fontId="17" fillId="0" borderId="2" xfId="1" applyFont="1" applyFill="1" applyBorder="1" applyAlignment="1">
      <alignment horizontal="center" wrapText="1"/>
    </xf>
    <xf numFmtId="44" fontId="16" fillId="0" borderId="2" xfId="1" applyFont="1" applyFill="1" applyBorder="1" applyAlignment="1"/>
    <xf numFmtId="44" fontId="17" fillId="0" borderId="3" xfId="1" applyFont="1" applyFill="1" applyBorder="1" applyAlignment="1"/>
    <xf numFmtId="0" fontId="32" fillId="0" borderId="2" xfId="1" applyNumberFormat="1" applyFont="1" applyFill="1" applyBorder="1" applyAlignment="1">
      <alignment horizontal="center"/>
    </xf>
    <xf numFmtId="164" fontId="16" fillId="0" borderId="6" xfId="3" applyNumberFormat="1" applyFont="1" applyFill="1" applyBorder="1" applyAlignment="1"/>
    <xf numFmtId="44" fontId="31" fillId="4" borderId="2" xfId="1" applyFont="1" applyFill="1" applyBorder="1" applyAlignment="1"/>
    <xf numFmtId="44" fontId="29" fillId="0" borderId="2" xfId="1" applyFont="1" applyFill="1" applyBorder="1" applyAlignment="1">
      <alignment horizontal="left"/>
    </xf>
    <xf numFmtId="164" fontId="16" fillId="0" borderId="10" xfId="3" applyNumberFormat="1" applyFont="1" applyFill="1" applyBorder="1" applyAlignment="1"/>
    <xf numFmtId="44" fontId="31" fillId="4" borderId="8" xfId="1" applyFont="1" applyFill="1" applyBorder="1" applyAlignment="1"/>
    <xf numFmtId="44" fontId="29" fillId="0" borderId="8" xfId="1" applyFont="1" applyFill="1" applyBorder="1" applyAlignment="1">
      <alignment horizontal="left"/>
    </xf>
    <xf numFmtId="0" fontId="35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vertical="center"/>
    </xf>
    <xf numFmtId="0" fontId="37" fillId="3" borderId="5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vertical="center"/>
    </xf>
    <xf numFmtId="0" fontId="40" fillId="5" borderId="0" xfId="0" applyFont="1" applyFill="1"/>
    <xf numFmtId="0" fontId="32" fillId="0" borderId="0" xfId="1" applyNumberFormat="1" applyFont="1" applyFill="1" applyBorder="1" applyAlignment="1">
      <alignment horizontal="center" vertical="center"/>
    </xf>
    <xf numFmtId="164" fontId="16" fillId="0" borderId="0" xfId="3" applyNumberFormat="1" applyFont="1" applyFill="1" applyBorder="1" applyAlignment="1">
      <alignment vertical="center"/>
    </xf>
    <xf numFmtId="44" fontId="16" fillId="0" borderId="0" xfId="1" applyFont="1" applyFill="1" applyBorder="1" applyAlignment="1">
      <alignment vertical="center"/>
    </xf>
    <xf numFmtId="44" fontId="41" fillId="0" borderId="0" xfId="1" applyFont="1" applyFill="1" applyBorder="1" applyAlignment="1">
      <alignment horizontal="left"/>
    </xf>
    <xf numFmtId="0" fontId="38" fillId="0" borderId="0" xfId="0" applyFont="1" applyAlignment="1">
      <alignment horizontal="left"/>
    </xf>
    <xf numFmtId="0" fontId="20" fillId="0" borderId="0" xfId="0" applyFont="1" applyAlignment="1">
      <alignment horizontal="center" vertical="center"/>
    </xf>
    <xf numFmtId="0" fontId="35" fillId="0" borderId="0" xfId="0" applyFont="1"/>
    <xf numFmtId="0" fontId="23" fillId="0" borderId="0" xfId="0" applyFont="1" applyAlignment="1">
      <alignment horizontal="center"/>
    </xf>
    <xf numFmtId="0" fontId="23" fillId="0" borderId="0" xfId="0" applyFont="1"/>
    <xf numFmtId="44" fontId="32" fillId="0" borderId="2" xfId="1" applyFont="1" applyFill="1" applyBorder="1" applyAlignment="1">
      <alignment horizontal="center" vertical="center" wrapText="1"/>
    </xf>
    <xf numFmtId="44" fontId="42" fillId="0" borderId="2" xfId="1" applyFont="1" applyFill="1" applyBorder="1" applyAlignment="1">
      <alignment horizontal="left" vertical="center" wrapText="1"/>
    </xf>
    <xf numFmtId="0" fontId="42" fillId="0" borderId="2" xfId="3" applyNumberFormat="1" applyFont="1" applyFill="1" applyBorder="1" applyAlignment="1">
      <alignment horizontal="right" vertical="center" wrapText="1"/>
    </xf>
    <xf numFmtId="0" fontId="35" fillId="0" borderId="1" xfId="0" applyFont="1" applyBorder="1"/>
    <xf numFmtId="0" fontId="16" fillId="0" borderId="0" xfId="0" applyFont="1" applyAlignment="1">
      <alignment wrapText="1"/>
    </xf>
    <xf numFmtId="44" fontId="44" fillId="0" borderId="0" xfId="1" applyFont="1" applyFill="1" applyBorder="1" applyAlignment="1">
      <alignment horizontal="left"/>
    </xf>
    <xf numFmtId="44" fontId="44" fillId="0" borderId="0" xfId="1" applyFont="1" applyFill="1" applyBorder="1" applyAlignment="1">
      <alignment horizontal="right"/>
    </xf>
    <xf numFmtId="0" fontId="45" fillId="0" borderId="0" xfId="0" applyFont="1" applyAlignment="1">
      <alignment horizontal="center" vertical="center"/>
    </xf>
    <xf numFmtId="10" fontId="43" fillId="0" borderId="0" xfId="3" applyNumberFormat="1" applyFont="1" applyBorder="1" applyAlignment="1">
      <alignment horizontal="left" vertical="center"/>
    </xf>
    <xf numFmtId="44" fontId="46" fillId="2" borderId="0" xfId="1" applyFont="1" applyFill="1" applyBorder="1" applyAlignment="1">
      <alignment horizontal="right"/>
    </xf>
    <xf numFmtId="44" fontId="46" fillId="2" borderId="0" xfId="1" applyFont="1" applyFill="1" applyBorder="1" applyAlignment="1">
      <alignment horizontal="left"/>
    </xf>
    <xf numFmtId="44" fontId="34" fillId="4" borderId="2" xfId="1" applyFont="1" applyFill="1" applyBorder="1" applyAlignment="1"/>
    <xf numFmtId="44" fontId="35" fillId="0" borderId="2" xfId="1" applyFont="1" applyFill="1" applyBorder="1" applyAlignment="1">
      <alignment horizontal="left"/>
    </xf>
    <xf numFmtId="44" fontId="34" fillId="4" borderId="8" xfId="1" applyFont="1" applyFill="1" applyBorder="1" applyAlignment="1">
      <alignment horizontal="right" wrapText="1"/>
    </xf>
    <xf numFmtId="44" fontId="33" fillId="0" borderId="8" xfId="1" applyFont="1" applyFill="1" applyBorder="1" applyAlignment="1">
      <alignment horizontal="left" wrapText="1"/>
    </xf>
    <xf numFmtId="0" fontId="42" fillId="0" borderId="2" xfId="3" applyNumberFormat="1" applyFont="1" applyFill="1" applyBorder="1" applyAlignment="1">
      <alignment horizontal="right" wrapText="1"/>
    </xf>
    <xf numFmtId="44" fontId="34" fillId="4" borderId="2" xfId="1" applyFont="1" applyFill="1" applyBorder="1" applyAlignment="1">
      <alignment horizontal="right" wrapText="1"/>
    </xf>
    <xf numFmtId="44" fontId="42" fillId="0" borderId="2" xfId="1" applyFont="1" applyFill="1" applyBorder="1" applyAlignment="1">
      <alignment horizontal="left" wrapText="1"/>
    </xf>
    <xf numFmtId="44" fontId="34" fillId="0" borderId="2" xfId="1" applyFont="1" applyFill="1" applyBorder="1" applyAlignment="1">
      <alignment horizontal="right" vertical="center" wrapText="1"/>
    </xf>
    <xf numFmtId="44" fontId="47" fillId="8" borderId="2" xfId="1" applyFont="1" applyFill="1" applyBorder="1" applyAlignment="1">
      <alignment horizontal="right" vertical="center" wrapText="1"/>
    </xf>
    <xf numFmtId="44" fontId="39" fillId="8" borderId="2" xfId="1" applyFont="1" applyFill="1" applyBorder="1" applyAlignment="1">
      <alignment horizontal="left" vertical="center" wrapText="1"/>
    </xf>
    <xf numFmtId="3" fontId="14" fillId="0" borderId="0" xfId="0" applyNumberFormat="1" applyFont="1" applyAlignment="1">
      <alignment horizontal="center" vertical="center"/>
    </xf>
    <xf numFmtId="0" fontId="16" fillId="0" borderId="2" xfId="0" applyFont="1" applyBorder="1" applyAlignment="1">
      <alignment horizontal="center"/>
    </xf>
    <xf numFmtId="0" fontId="48" fillId="5" borderId="0" xfId="0" applyFont="1" applyFill="1" applyAlignment="1">
      <alignment vertical="center"/>
    </xf>
    <xf numFmtId="0" fontId="48" fillId="5" borderId="0" xfId="0" applyFont="1" applyFill="1" applyAlignment="1">
      <alignment horizontal="center" vertical="center"/>
    </xf>
    <xf numFmtId="0" fontId="48" fillId="5" borderId="0" xfId="0" applyFont="1" applyFill="1"/>
    <xf numFmtId="0" fontId="49" fillId="0" borderId="0" xfId="0" applyFont="1" applyAlignment="1">
      <alignment horizontal="left" vertical="center"/>
    </xf>
    <xf numFmtId="44" fontId="50" fillId="0" borderId="0" xfId="1" applyFont="1" applyBorder="1" applyAlignment="1">
      <alignment horizontal="left"/>
    </xf>
    <xf numFmtId="44" fontId="51" fillId="0" borderId="0" xfId="1" applyFont="1" applyFill="1" applyBorder="1" applyAlignment="1">
      <alignment horizontal="left"/>
    </xf>
    <xf numFmtId="44" fontId="52" fillId="0" borderId="0" xfId="1" applyFont="1" applyFill="1" applyBorder="1" applyAlignment="1">
      <alignment horizontal="right"/>
    </xf>
    <xf numFmtId="44" fontId="52" fillId="0" borderId="0" xfId="1" applyFont="1" applyFill="1" applyBorder="1" applyAlignment="1">
      <alignment horizontal="left"/>
    </xf>
    <xf numFmtId="0" fontId="53" fillId="0" borderId="2" xfId="0" applyFont="1" applyBorder="1" applyAlignment="1">
      <alignment horizontal="center"/>
    </xf>
    <xf numFmtId="44" fontId="29" fillId="7" borderId="2" xfId="1" applyFont="1" applyFill="1" applyBorder="1" applyAlignment="1">
      <alignment horizontal="center" wrapText="1"/>
    </xf>
    <xf numFmtId="16" fontId="30" fillId="6" borderId="2" xfId="0" applyNumberFormat="1" applyFont="1" applyFill="1" applyBorder="1" applyAlignment="1">
      <alignment horizontal="center" wrapText="1"/>
    </xf>
    <xf numFmtId="44" fontId="17" fillId="0" borderId="2" xfId="1" applyFont="1" applyFill="1" applyBorder="1" applyAlignment="1">
      <alignment horizontal="center"/>
    </xf>
    <xf numFmtId="164" fontId="33" fillId="0" borderId="6" xfId="3" applyNumberFormat="1" applyFont="1" applyFill="1" applyBorder="1" applyAlignment="1">
      <alignment wrapText="1"/>
    </xf>
    <xf numFmtId="0" fontId="42" fillId="0" borderId="6" xfId="3" applyNumberFormat="1" applyFont="1" applyFill="1" applyBorder="1" applyAlignment="1">
      <alignment wrapText="1"/>
    </xf>
    <xf numFmtId="0" fontId="16" fillId="0" borderId="14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7" fillId="0" borderId="0" xfId="0" applyFont="1" applyAlignment="1">
      <alignment vertical="center"/>
    </xf>
    <xf numFmtId="0" fontId="16" fillId="0" borderId="15" xfId="0" applyFont="1" applyBorder="1" applyAlignment="1">
      <alignment vertical="center"/>
    </xf>
    <xf numFmtId="0" fontId="2" fillId="0" borderId="5" xfId="2" applyBorder="1" applyAlignment="1" applyProtection="1"/>
    <xf numFmtId="0" fontId="19" fillId="0" borderId="15" xfId="2" applyFont="1" applyBorder="1" applyAlignment="1" applyProtection="1">
      <alignment vertical="center"/>
    </xf>
    <xf numFmtId="0" fontId="17" fillId="0" borderId="5" xfId="2" applyFont="1" applyBorder="1" applyAlignment="1" applyProtection="1">
      <alignment vertical="center"/>
    </xf>
    <xf numFmtId="0" fontId="17" fillId="0" borderId="11" xfId="0" applyFont="1" applyBorder="1" applyAlignme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3" xfId="0" applyFont="1" applyBorder="1" applyAlignment="1">
      <alignment vertical="center"/>
    </xf>
    <xf numFmtId="14" fontId="17" fillId="0" borderId="12" xfId="0" applyNumberFormat="1" applyFont="1" applyBorder="1" applyAlignment="1">
      <alignment horizontal="left" vertical="center"/>
    </xf>
    <xf numFmtId="0" fontId="15" fillId="0" borderId="8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0" fontId="23" fillId="4" borderId="0" xfId="0" applyFont="1" applyFill="1"/>
    <xf numFmtId="0" fontId="24" fillId="4" borderId="0" xfId="0" applyFont="1" applyFill="1"/>
    <xf numFmtId="0" fontId="12" fillId="4" borderId="0" xfId="0" applyFont="1" applyFill="1"/>
    <xf numFmtId="0" fontId="38" fillId="9" borderId="2" xfId="0" applyFont="1" applyFill="1" applyBorder="1" applyAlignment="1">
      <alignment horizontal="center" vertical="center"/>
    </xf>
    <xf numFmtId="9" fontId="36" fillId="9" borderId="2" xfId="4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2" fillId="0" borderId="16" xfId="0" applyFont="1" applyBorder="1" applyAlignment="1">
      <alignment vertical="center"/>
    </xf>
    <xf numFmtId="43" fontId="42" fillId="0" borderId="3" xfId="3" applyFont="1" applyFill="1" applyBorder="1" applyAlignment="1">
      <alignment vertical="center" wrapText="1"/>
    </xf>
    <xf numFmtId="43" fontId="42" fillId="0" borderId="4" xfId="3" applyFont="1" applyFill="1" applyBorder="1" applyAlignment="1">
      <alignment vertical="center" wrapText="1"/>
    </xf>
    <xf numFmtId="43" fontId="42" fillId="0" borderId="6" xfId="3" applyFont="1" applyFill="1" applyBorder="1" applyAlignment="1">
      <alignment vertical="center" wrapText="1"/>
    </xf>
    <xf numFmtId="0" fontId="42" fillId="0" borderId="2" xfId="3" applyNumberFormat="1" applyFont="1" applyFill="1" applyBorder="1" applyAlignment="1">
      <alignment vertical="center" wrapText="1"/>
    </xf>
    <xf numFmtId="43" fontId="39" fillId="8" borderId="2" xfId="3" applyFont="1" applyFill="1" applyBorder="1" applyAlignment="1">
      <alignment vertical="center" wrapText="1"/>
    </xf>
    <xf numFmtId="0" fontId="33" fillId="0" borderId="2" xfId="3" applyNumberFormat="1" applyFont="1" applyFill="1" applyBorder="1" applyAlignment="1">
      <alignment horizontal="center" wrapText="1"/>
    </xf>
    <xf numFmtId="0" fontId="37" fillId="3" borderId="11" xfId="0" applyFont="1" applyFill="1" applyBorder="1" applyAlignment="1">
      <alignment horizontal="center" vertical="center"/>
    </xf>
    <xf numFmtId="16" fontId="28" fillId="0" borderId="12" xfId="0" applyNumberFormat="1" applyFont="1" applyBorder="1" applyAlignment="1">
      <alignment horizontal="center" vertical="center" wrapText="1"/>
    </xf>
    <xf numFmtId="16" fontId="28" fillId="0" borderId="11" xfId="0" applyNumberFormat="1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wrapText="1"/>
    </xf>
    <xf numFmtId="0" fontId="35" fillId="0" borderId="0" xfId="0" applyFont="1" applyAlignment="1">
      <alignment horizontal="right"/>
    </xf>
    <xf numFmtId="43" fontId="33" fillId="0" borderId="2" xfId="3" applyFont="1" applyFill="1" applyBorder="1" applyAlignment="1">
      <alignment horizontal="right" wrapText="1"/>
    </xf>
    <xf numFmtId="43" fontId="42" fillId="0" borderId="2" xfId="3" applyFont="1" applyFill="1" applyBorder="1" applyAlignment="1">
      <alignment horizontal="right" wrapText="1"/>
    </xf>
    <xf numFmtId="0" fontId="10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1" fillId="4" borderId="0" xfId="0" applyFont="1" applyFill="1" applyAlignment="1">
      <alignment horizontal="left"/>
    </xf>
    <xf numFmtId="0" fontId="20" fillId="0" borderId="5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38" fillId="0" borderId="0" xfId="0" applyFont="1" applyAlignment="1">
      <alignment horizontal="center"/>
    </xf>
    <xf numFmtId="0" fontId="16" fillId="0" borderId="0" xfId="0" applyFont="1" applyAlignment="1">
      <alignment horizontal="left" wrapText="1"/>
    </xf>
    <xf numFmtId="0" fontId="36" fillId="0" borderId="0" xfId="0" applyFont="1" applyAlignment="1">
      <alignment horizontal="center"/>
    </xf>
    <xf numFmtId="3" fontId="14" fillId="0" borderId="2" xfId="0" applyNumberFormat="1" applyFont="1" applyBorder="1" applyAlignment="1">
      <alignment horizontal="center"/>
    </xf>
    <xf numFmtId="3" fontId="54" fillId="0" borderId="2" xfId="0" applyNumberFormat="1" applyFont="1" applyBorder="1" applyAlignment="1">
      <alignment horizontal="center"/>
    </xf>
    <xf numFmtId="10" fontId="50" fillId="0" borderId="0" xfId="3" applyNumberFormat="1" applyFont="1" applyBorder="1" applyAlignment="1">
      <alignment horizontal="right"/>
    </xf>
    <xf numFmtId="0" fontId="40" fillId="5" borderId="0" xfId="0" applyFont="1" applyFill="1" applyAlignment="1">
      <alignment horizontal="left"/>
    </xf>
    <xf numFmtId="0" fontId="49" fillId="0" borderId="0" xfId="0" applyFont="1" applyAlignment="1">
      <alignment horizontal="left" vertical="center"/>
    </xf>
    <xf numFmtId="0" fontId="16" fillId="0" borderId="0" xfId="0" applyFont="1" applyAlignment="1">
      <alignment horizontal="center" wrapText="1"/>
    </xf>
    <xf numFmtId="0" fontId="38" fillId="0" borderId="0" xfId="0" applyFont="1" applyAlignment="1">
      <alignment horizontal="left"/>
    </xf>
  </cellXfs>
  <cellStyles count="5">
    <cellStyle name="Comma" xfId="3" builtinId="3"/>
    <cellStyle name="Currency" xfId="1" builtinId="4"/>
    <cellStyle name="Hyperlink" xfId="2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CC"/>
      <color rgb="FFCC99FF"/>
      <color rgb="FF3399FF"/>
      <color rgb="FFCCFFFF"/>
      <color rgb="FFBF64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421341</xdr:colOff>
      <xdr:row>0</xdr:row>
      <xdr:rowOff>0</xdr:rowOff>
    </xdr:from>
    <xdr:to>
      <xdr:col>2</xdr:col>
      <xdr:colOff>967548</xdr:colOff>
      <xdr:row>4</xdr:row>
      <xdr:rowOff>125506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EC3447E-7131-429F-B09B-102E048F807F}"/>
            </a:ext>
          </a:extLst>
        </xdr:cNvPr>
        <xdr:cNvGrpSpPr/>
      </xdr:nvGrpSpPr>
      <xdr:grpSpPr>
        <a:xfrm>
          <a:off x="1033662" y="0"/>
          <a:ext cx="1226565" cy="1105220"/>
          <a:chOff x="8001000" y="5942623"/>
          <a:chExt cx="904999" cy="822854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10CE84E2-C698-520F-A421-9CF0DD9C8239}"/>
              </a:ext>
            </a:extLst>
          </xdr:cNvPr>
          <xdr:cNvSpPr/>
        </xdr:nvSpPr>
        <xdr:spPr>
          <a:xfrm>
            <a:off x="8026400" y="6003477"/>
            <a:ext cx="828799" cy="7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B95D9E1-FE55-77A1-DF29-BDA1159DB13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/>
          <a:srcRect b="15244"/>
          <a:stretch/>
        </xdr:blipFill>
        <xdr:spPr>
          <a:xfrm>
            <a:off x="8001000" y="5942623"/>
            <a:ext cx="904999" cy="784753"/>
          </a:xfrm>
          <a:prstGeom prst="rect">
            <a:avLst/>
          </a:prstGeom>
          <a:effectLst/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lexander.boyle@crisp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46357-F59D-4BDC-AD94-B73A69474D02}">
  <dimension ref="B1:AD97"/>
  <sheetViews>
    <sheetView tabSelected="1" zoomScale="70" zoomScaleNormal="70" workbookViewId="0">
      <selection activeCell="R12" sqref="R12"/>
    </sheetView>
  </sheetViews>
  <sheetFormatPr defaultColWidth="9.140625" defaultRowHeight="16.5" x14ac:dyDescent="0.25"/>
  <cols>
    <col min="1" max="1" width="9.140625" style="4"/>
    <col min="2" max="2" width="10.28515625" style="4" customWidth="1"/>
    <col min="3" max="3" width="43.85546875" style="4" customWidth="1"/>
    <col min="4" max="4" width="28" style="4" customWidth="1"/>
    <col min="5" max="5" width="19.7109375" style="4" customWidth="1"/>
    <col min="6" max="6" width="16.7109375" style="4" customWidth="1"/>
    <col min="7" max="7" width="13.7109375" style="4" customWidth="1"/>
    <col min="8" max="8" width="8.28515625" style="5" customWidth="1"/>
    <col min="9" max="13" width="9.28515625" style="4" customWidth="1"/>
    <col min="14" max="14" width="12.42578125" style="4" customWidth="1"/>
    <col min="15" max="15" width="9.28515625" style="4" customWidth="1"/>
    <col min="16" max="16" width="12" style="4" customWidth="1"/>
    <col min="17" max="17" width="9.28515625" style="4" customWidth="1"/>
    <col min="18" max="21" width="9.7109375" style="4" customWidth="1"/>
    <col min="22" max="22" width="9.28515625" style="4" customWidth="1"/>
    <col min="23" max="23" width="17" style="4" customWidth="1"/>
    <col min="24" max="24" width="19" style="5" customWidth="1"/>
    <col min="25" max="25" width="18.42578125" style="4" customWidth="1"/>
    <col min="26" max="30" width="9.140625" style="4"/>
    <col min="31" max="31" width="11.42578125" style="4" bestFit="1" customWidth="1"/>
    <col min="32" max="16384" width="9.140625" style="4"/>
  </cols>
  <sheetData>
    <row r="1" spans="2:27" ht="19.899999999999999" customHeight="1" x14ac:dyDescent="0.25"/>
    <row r="2" spans="2:27" ht="19.899999999999999" customHeight="1" x14ac:dyDescent="0.25">
      <c r="E2" s="142" t="s">
        <v>16</v>
      </c>
      <c r="F2" s="142"/>
      <c r="G2" s="142"/>
      <c r="H2" s="142"/>
      <c r="I2" s="142"/>
      <c r="J2" s="142"/>
      <c r="K2" s="142"/>
      <c r="L2" s="142"/>
      <c r="X2" s="140"/>
      <c r="Y2" s="140"/>
    </row>
    <row r="3" spans="2:27" ht="19.899999999999999" customHeight="1" x14ac:dyDescent="0.3">
      <c r="H3" s="141"/>
      <c r="I3" s="141"/>
    </row>
    <row r="4" spans="2:27" ht="19.899999999999999" customHeight="1" x14ac:dyDescent="0.25"/>
    <row r="5" spans="2:27" ht="19.899999999999999" customHeight="1" x14ac:dyDescent="0.25"/>
    <row r="6" spans="2:27" s="1" customFormat="1" ht="17.25" x14ac:dyDescent="0.25">
      <c r="C6" s="118" t="s">
        <v>17</v>
      </c>
      <c r="D6" s="102" t="s">
        <v>65</v>
      </c>
      <c r="E6" s="103"/>
      <c r="F6" s="103"/>
      <c r="G6" s="103"/>
      <c r="H6" s="104"/>
      <c r="I6" s="105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4"/>
      <c r="Z6" s="14"/>
      <c r="AA6" s="14"/>
    </row>
    <row r="7" spans="2:27" s="1" customFormat="1" ht="17.25" x14ac:dyDescent="0.25">
      <c r="C7" s="119" t="s">
        <v>18</v>
      </c>
      <c r="D7" s="106" t="s">
        <v>30</v>
      </c>
      <c r="E7" s="107"/>
      <c r="F7" s="107"/>
      <c r="G7" s="107"/>
      <c r="H7" s="15"/>
      <c r="I7" s="108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4"/>
      <c r="Z7" s="14"/>
      <c r="AA7" s="14"/>
    </row>
    <row r="8" spans="2:27" s="1" customFormat="1" ht="17.25" x14ac:dyDescent="0.25">
      <c r="C8" s="119" t="s">
        <v>0</v>
      </c>
      <c r="D8" s="106" t="s">
        <v>60</v>
      </c>
      <c r="E8" s="109"/>
      <c r="F8" s="109"/>
      <c r="G8" s="109"/>
      <c r="H8" s="15"/>
      <c r="I8" s="110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5"/>
      <c r="Y8" s="14"/>
      <c r="Z8" s="14"/>
      <c r="AA8" s="14"/>
    </row>
    <row r="9" spans="2:27" s="1" customFormat="1" ht="18.75" customHeight="1" x14ac:dyDescent="0.25">
      <c r="C9" s="119" t="s">
        <v>1</v>
      </c>
      <c r="D9" s="111" t="s">
        <v>59</v>
      </c>
      <c r="E9" s="16"/>
      <c r="F9" s="16"/>
      <c r="G9" s="16"/>
      <c r="H9" s="17"/>
      <c r="I9" s="112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7"/>
      <c r="Y9" s="14"/>
      <c r="Z9" s="14"/>
      <c r="AA9" s="14"/>
    </row>
    <row r="10" spans="2:27" s="1" customFormat="1" ht="18.75" customHeight="1" x14ac:dyDescent="0.25">
      <c r="C10" s="119" t="s">
        <v>11</v>
      </c>
      <c r="D10" s="113" t="s">
        <v>12</v>
      </c>
      <c r="E10" s="19"/>
      <c r="F10" s="19"/>
      <c r="G10" s="19"/>
      <c r="H10" s="17"/>
      <c r="I10" s="112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7"/>
      <c r="Y10" s="14"/>
      <c r="Z10" s="14"/>
      <c r="AA10" s="14"/>
    </row>
    <row r="11" spans="2:27" s="1" customFormat="1" ht="18.75" customHeight="1" x14ac:dyDescent="0.25">
      <c r="C11" s="119" t="s">
        <v>13</v>
      </c>
      <c r="D11" s="113" t="s">
        <v>26</v>
      </c>
      <c r="E11" s="19"/>
      <c r="F11" s="19"/>
      <c r="G11" s="19"/>
      <c r="H11" s="17"/>
      <c r="I11" s="11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7"/>
      <c r="Y11" s="14"/>
      <c r="Z11" s="14"/>
      <c r="AA11" s="14"/>
    </row>
    <row r="12" spans="2:27" s="1" customFormat="1" ht="18.75" customHeight="1" x14ac:dyDescent="0.25">
      <c r="C12" s="119" t="s">
        <v>46</v>
      </c>
      <c r="D12" s="145" t="s">
        <v>61</v>
      </c>
      <c r="E12" s="146"/>
      <c r="F12" s="146"/>
      <c r="G12" s="146"/>
      <c r="H12" s="17"/>
      <c r="I12" s="112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7"/>
      <c r="Y12" s="14"/>
      <c r="Z12" s="14"/>
      <c r="AA12" s="14"/>
    </row>
    <row r="13" spans="2:27" s="1" customFormat="1" ht="17.25" x14ac:dyDescent="0.25">
      <c r="C13" s="126" t="s">
        <v>64</v>
      </c>
      <c r="D13" s="117">
        <v>46223</v>
      </c>
      <c r="E13" s="114"/>
      <c r="F13" s="114"/>
      <c r="G13" s="114"/>
      <c r="H13" s="115"/>
      <c r="I13" s="116"/>
      <c r="J13" s="14"/>
      <c r="K13" s="14"/>
      <c r="L13" s="14"/>
      <c r="M13" s="14"/>
      <c r="N13" s="14"/>
      <c r="O13" s="14"/>
      <c r="P13" s="20"/>
      <c r="Q13" s="14"/>
      <c r="R13" s="14"/>
      <c r="S13" s="14"/>
      <c r="T13" s="14"/>
      <c r="U13" s="14"/>
      <c r="V13" s="14"/>
      <c r="W13" s="14"/>
      <c r="X13" s="15"/>
      <c r="Y13" s="14"/>
      <c r="Z13" s="14"/>
      <c r="AA13" s="14"/>
    </row>
    <row r="14" spans="2:27" x14ac:dyDescent="0.25">
      <c r="C14" s="21"/>
      <c r="D14" s="22"/>
      <c r="E14" s="22"/>
      <c r="F14" s="22"/>
      <c r="G14" s="22"/>
      <c r="H14" s="23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3"/>
      <c r="Y14" s="22"/>
      <c r="Z14" s="24"/>
      <c r="AA14" s="24"/>
    </row>
    <row r="15" spans="2:27" s="122" customFormat="1" ht="31.15" customHeight="1" x14ac:dyDescent="0.35">
      <c r="B15" s="144" t="s">
        <v>48</v>
      </c>
      <c r="C15" s="144"/>
      <c r="D15" s="144"/>
      <c r="E15" s="144"/>
      <c r="F15" s="144"/>
      <c r="G15" s="144"/>
      <c r="H15" s="144"/>
      <c r="I15" s="144"/>
      <c r="J15" s="144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1"/>
      <c r="AA15" s="121"/>
    </row>
    <row r="16" spans="2:27" s="12" customFormat="1" ht="31.15" customHeight="1" x14ac:dyDescent="0.25">
      <c r="B16" s="11"/>
      <c r="C16" s="25"/>
      <c r="D16" s="25"/>
      <c r="E16" s="25"/>
      <c r="F16" s="25"/>
      <c r="G16" s="25"/>
      <c r="H16" s="26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8"/>
      <c r="AA16" s="28"/>
    </row>
    <row r="17" spans="2:30" s="2" customFormat="1" ht="21" customHeight="1" x14ac:dyDescent="0.25">
      <c r="C17" s="29"/>
      <c r="D17" s="30"/>
      <c r="E17" s="30"/>
      <c r="F17" s="143" t="s">
        <v>63</v>
      </c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31"/>
      <c r="Y17" s="30"/>
      <c r="Z17" s="30"/>
      <c r="AA17" s="30"/>
    </row>
    <row r="18" spans="2:30" ht="40.9" customHeight="1" x14ac:dyDescent="0.35">
      <c r="C18" s="136" t="s">
        <v>43</v>
      </c>
      <c r="D18" s="136"/>
      <c r="E18" s="136"/>
      <c r="F18" s="136"/>
      <c r="G18" s="136"/>
      <c r="H18" s="134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32"/>
      <c r="Y18" s="32"/>
      <c r="Z18" s="24"/>
      <c r="AD18" s="6"/>
    </row>
    <row r="19" spans="2:30" s="1" customFormat="1" ht="45.75" customHeight="1" x14ac:dyDescent="0.25">
      <c r="C19" s="33" t="s">
        <v>3</v>
      </c>
      <c r="D19" s="34" t="s">
        <v>2</v>
      </c>
      <c r="E19" s="33" t="s">
        <v>57</v>
      </c>
      <c r="F19" s="35" t="s">
        <v>58</v>
      </c>
      <c r="G19" s="97" t="s">
        <v>40</v>
      </c>
      <c r="H19" s="98">
        <v>46230</v>
      </c>
      <c r="I19" s="98">
        <f>H19+7</f>
        <v>46237</v>
      </c>
      <c r="J19" s="98">
        <f t="shared" ref="J19:U19" si="0">I19+7</f>
        <v>46244</v>
      </c>
      <c r="K19" s="98">
        <f t="shared" si="0"/>
        <v>46251</v>
      </c>
      <c r="L19" s="98">
        <f t="shared" si="0"/>
        <v>46258</v>
      </c>
      <c r="M19" s="98">
        <f t="shared" si="0"/>
        <v>46265</v>
      </c>
      <c r="N19" s="98">
        <f t="shared" si="0"/>
        <v>46272</v>
      </c>
      <c r="O19" s="98">
        <f t="shared" si="0"/>
        <v>46279</v>
      </c>
      <c r="P19" s="98">
        <f t="shared" si="0"/>
        <v>46286</v>
      </c>
      <c r="Q19" s="98">
        <f t="shared" si="0"/>
        <v>46293</v>
      </c>
      <c r="R19" s="98">
        <f t="shared" si="0"/>
        <v>46300</v>
      </c>
      <c r="S19" s="98">
        <f t="shared" si="0"/>
        <v>46307</v>
      </c>
      <c r="T19" s="98">
        <f t="shared" si="0"/>
        <v>46314</v>
      </c>
      <c r="U19" s="98">
        <f t="shared" si="0"/>
        <v>46321</v>
      </c>
      <c r="V19" s="36" t="s">
        <v>19</v>
      </c>
      <c r="W19" s="37" t="s">
        <v>44</v>
      </c>
      <c r="X19" s="65" t="s">
        <v>45</v>
      </c>
      <c r="Y19" s="14">
        <v>41</v>
      </c>
      <c r="Z19" s="14"/>
      <c r="AC19" s="7"/>
    </row>
    <row r="20" spans="2:30" s="1" customFormat="1" ht="25.9" customHeight="1" x14ac:dyDescent="0.25">
      <c r="B20" s="9"/>
      <c r="C20" s="38" t="s">
        <v>6</v>
      </c>
      <c r="D20" s="39" t="s">
        <v>5</v>
      </c>
      <c r="E20" s="40">
        <v>150</v>
      </c>
      <c r="F20" s="41">
        <v>120</v>
      </c>
      <c r="G20" s="99" t="s">
        <v>41</v>
      </c>
      <c r="H20" s="42">
        <v>3</v>
      </c>
      <c r="I20" s="42">
        <v>3</v>
      </c>
      <c r="J20" s="42">
        <v>3</v>
      </c>
      <c r="K20" s="42">
        <v>3</v>
      </c>
      <c r="L20" s="42">
        <v>3</v>
      </c>
      <c r="M20" s="42">
        <v>3</v>
      </c>
      <c r="N20" s="42">
        <v>3</v>
      </c>
      <c r="O20" s="42">
        <v>3</v>
      </c>
      <c r="P20" s="42">
        <v>3</v>
      </c>
      <c r="Q20" s="42">
        <v>3</v>
      </c>
      <c r="R20" s="42">
        <v>3</v>
      </c>
      <c r="S20" s="42">
        <v>3</v>
      </c>
      <c r="T20" s="42">
        <v>3</v>
      </c>
      <c r="U20" s="42">
        <v>2</v>
      </c>
      <c r="V20" s="43">
        <f t="shared" ref="V20:V27" si="1">SUM(H20:U20)</f>
        <v>41</v>
      </c>
      <c r="W20" s="44">
        <f t="shared" ref="W20:W27" si="2">V20*E20</f>
        <v>6150</v>
      </c>
      <c r="X20" s="45">
        <f t="shared" ref="X20:X27" si="3">V20*F20</f>
        <v>4920</v>
      </c>
      <c r="Y20" s="43">
        <v>41</v>
      </c>
      <c r="Z20" s="14"/>
    </row>
    <row r="21" spans="2:30" s="1" customFormat="1" ht="26.45" customHeight="1" x14ac:dyDescent="0.25">
      <c r="B21" s="9"/>
      <c r="C21" s="38" t="s">
        <v>4</v>
      </c>
      <c r="D21" s="39" t="s">
        <v>24</v>
      </c>
      <c r="E21" s="40">
        <v>150</v>
      </c>
      <c r="F21" s="41">
        <v>120</v>
      </c>
      <c r="G21" s="99" t="s">
        <v>41</v>
      </c>
      <c r="H21" s="42">
        <v>3</v>
      </c>
      <c r="I21" s="42">
        <v>3</v>
      </c>
      <c r="J21" s="42">
        <v>3</v>
      </c>
      <c r="K21" s="42">
        <v>3</v>
      </c>
      <c r="L21" s="42">
        <v>3</v>
      </c>
      <c r="M21" s="42">
        <v>3</v>
      </c>
      <c r="N21" s="42">
        <v>3</v>
      </c>
      <c r="O21" s="42">
        <v>3</v>
      </c>
      <c r="P21" s="42">
        <v>3</v>
      </c>
      <c r="Q21" s="42">
        <v>3</v>
      </c>
      <c r="R21" s="42">
        <v>3</v>
      </c>
      <c r="S21" s="42">
        <v>3</v>
      </c>
      <c r="T21" s="42">
        <v>3</v>
      </c>
      <c r="U21" s="42">
        <v>1</v>
      </c>
      <c r="V21" s="43">
        <f t="shared" si="1"/>
        <v>40</v>
      </c>
      <c r="W21" s="44">
        <f t="shared" si="2"/>
        <v>6000</v>
      </c>
      <c r="X21" s="45">
        <f t="shared" si="3"/>
        <v>4800</v>
      </c>
      <c r="Y21" s="43">
        <v>40</v>
      </c>
      <c r="Z21" s="14"/>
    </row>
    <row r="22" spans="2:30" s="1" customFormat="1" ht="24.6" customHeight="1" x14ac:dyDescent="0.25">
      <c r="B22" s="9"/>
      <c r="C22" s="38" t="s">
        <v>21</v>
      </c>
      <c r="D22" s="39" t="s">
        <v>22</v>
      </c>
      <c r="E22" s="40">
        <v>120</v>
      </c>
      <c r="F22" s="41">
        <v>100</v>
      </c>
      <c r="G22" s="99" t="s">
        <v>41</v>
      </c>
      <c r="H22" s="42">
        <v>3</v>
      </c>
      <c r="I22" s="42">
        <v>3</v>
      </c>
      <c r="J22" s="42">
        <v>3</v>
      </c>
      <c r="K22" s="42">
        <v>3</v>
      </c>
      <c r="L22" s="42">
        <v>3</v>
      </c>
      <c r="M22" s="42">
        <v>3</v>
      </c>
      <c r="N22" s="42">
        <v>3</v>
      </c>
      <c r="O22" s="42">
        <v>3</v>
      </c>
      <c r="P22" s="42">
        <v>3</v>
      </c>
      <c r="Q22" s="42">
        <v>3</v>
      </c>
      <c r="R22" s="42">
        <v>3</v>
      </c>
      <c r="S22" s="42">
        <v>3</v>
      </c>
      <c r="T22" s="42">
        <v>3</v>
      </c>
      <c r="U22" s="42">
        <v>2</v>
      </c>
      <c r="V22" s="43">
        <f t="shared" si="1"/>
        <v>41</v>
      </c>
      <c r="W22" s="44">
        <f t="shared" si="2"/>
        <v>4920</v>
      </c>
      <c r="X22" s="45">
        <f t="shared" si="3"/>
        <v>4100</v>
      </c>
      <c r="Y22" s="43">
        <v>41</v>
      </c>
      <c r="Z22" s="14"/>
    </row>
    <row r="23" spans="2:30" s="1" customFormat="1" ht="28.15" customHeight="1" x14ac:dyDescent="0.25">
      <c r="B23" s="9"/>
      <c r="C23" s="38" t="s">
        <v>7</v>
      </c>
      <c r="D23" s="39" t="s">
        <v>20</v>
      </c>
      <c r="E23" s="40">
        <v>120</v>
      </c>
      <c r="F23" s="41">
        <v>100</v>
      </c>
      <c r="G23" s="99" t="s">
        <v>41</v>
      </c>
      <c r="H23" s="42">
        <v>3</v>
      </c>
      <c r="I23" s="42">
        <v>3</v>
      </c>
      <c r="J23" s="42">
        <v>3</v>
      </c>
      <c r="K23" s="42">
        <v>3</v>
      </c>
      <c r="L23" s="42">
        <v>3</v>
      </c>
      <c r="M23" s="42">
        <v>3</v>
      </c>
      <c r="N23" s="42">
        <v>3</v>
      </c>
      <c r="O23" s="42">
        <v>3</v>
      </c>
      <c r="P23" s="42">
        <v>3</v>
      </c>
      <c r="Q23" s="42">
        <v>3</v>
      </c>
      <c r="R23" s="42">
        <v>3</v>
      </c>
      <c r="S23" s="42">
        <v>3</v>
      </c>
      <c r="T23" s="42">
        <v>3</v>
      </c>
      <c r="U23" s="42">
        <v>1</v>
      </c>
      <c r="V23" s="43">
        <f t="shared" si="1"/>
        <v>40</v>
      </c>
      <c r="W23" s="44">
        <f t="shared" si="2"/>
        <v>4800</v>
      </c>
      <c r="X23" s="45">
        <f t="shared" si="3"/>
        <v>4000</v>
      </c>
      <c r="Y23" s="43">
        <v>41</v>
      </c>
      <c r="Z23" s="14"/>
    </row>
    <row r="24" spans="2:30" s="1" customFormat="1" ht="30.6" customHeight="1" x14ac:dyDescent="0.25">
      <c r="B24" s="9"/>
      <c r="C24" s="38" t="s">
        <v>14</v>
      </c>
      <c r="D24" s="39" t="s">
        <v>10</v>
      </c>
      <c r="E24" s="40">
        <v>50</v>
      </c>
      <c r="F24" s="41">
        <v>0</v>
      </c>
      <c r="G24" s="99" t="s">
        <v>42</v>
      </c>
      <c r="H24" s="42">
        <v>3</v>
      </c>
      <c r="I24" s="42">
        <v>3</v>
      </c>
      <c r="J24" s="42">
        <v>3</v>
      </c>
      <c r="K24" s="42">
        <v>3</v>
      </c>
      <c r="L24" s="42">
        <v>3</v>
      </c>
      <c r="M24" s="42">
        <v>3</v>
      </c>
      <c r="N24" s="42">
        <v>3</v>
      </c>
      <c r="O24" s="42">
        <v>3</v>
      </c>
      <c r="P24" s="42">
        <v>3</v>
      </c>
      <c r="Q24" s="42">
        <v>3</v>
      </c>
      <c r="R24" s="42">
        <v>3</v>
      </c>
      <c r="S24" s="42">
        <v>3</v>
      </c>
      <c r="T24" s="42">
        <v>3</v>
      </c>
      <c r="U24" s="42">
        <v>2</v>
      </c>
      <c r="V24" s="43">
        <f t="shared" si="1"/>
        <v>41</v>
      </c>
      <c r="W24" s="44">
        <f t="shared" si="2"/>
        <v>2050</v>
      </c>
      <c r="X24" s="45">
        <f t="shared" si="3"/>
        <v>0</v>
      </c>
      <c r="Y24" s="43">
        <v>40</v>
      </c>
      <c r="Z24" s="14"/>
    </row>
    <row r="25" spans="2:30" s="1" customFormat="1" ht="30.6" customHeight="1" x14ac:dyDescent="0.25">
      <c r="B25" s="9"/>
      <c r="C25" s="38" t="s">
        <v>15</v>
      </c>
      <c r="D25" s="39" t="s">
        <v>10</v>
      </c>
      <c r="E25" s="40">
        <v>50</v>
      </c>
      <c r="F25" s="41">
        <v>0</v>
      </c>
      <c r="G25" s="99" t="s">
        <v>42</v>
      </c>
      <c r="H25" s="42">
        <v>3</v>
      </c>
      <c r="I25" s="42">
        <v>3</v>
      </c>
      <c r="J25" s="42">
        <v>3</v>
      </c>
      <c r="K25" s="42">
        <v>3</v>
      </c>
      <c r="L25" s="42">
        <v>3</v>
      </c>
      <c r="M25" s="42">
        <v>3</v>
      </c>
      <c r="N25" s="42">
        <v>3</v>
      </c>
      <c r="O25" s="42">
        <v>3</v>
      </c>
      <c r="P25" s="42">
        <v>3</v>
      </c>
      <c r="Q25" s="42">
        <v>3</v>
      </c>
      <c r="R25" s="42">
        <v>3</v>
      </c>
      <c r="S25" s="42">
        <v>3</v>
      </c>
      <c r="T25" s="42">
        <v>3</v>
      </c>
      <c r="U25" s="42">
        <v>2</v>
      </c>
      <c r="V25" s="43">
        <f t="shared" si="1"/>
        <v>41</v>
      </c>
      <c r="W25" s="44">
        <f t="shared" si="2"/>
        <v>2050</v>
      </c>
      <c r="X25" s="45">
        <f t="shared" si="3"/>
        <v>0</v>
      </c>
      <c r="Y25" s="43">
        <v>40</v>
      </c>
      <c r="Z25" s="14"/>
    </row>
    <row r="26" spans="2:30" s="1" customFormat="1" ht="34.5" customHeight="1" x14ac:dyDescent="0.25">
      <c r="B26" s="9"/>
      <c r="C26" s="38" t="s">
        <v>8</v>
      </c>
      <c r="D26" s="39" t="s">
        <v>10</v>
      </c>
      <c r="E26" s="40">
        <v>42.5</v>
      </c>
      <c r="F26" s="41">
        <v>0</v>
      </c>
      <c r="G26" s="99" t="s">
        <v>42</v>
      </c>
      <c r="H26" s="42">
        <v>3</v>
      </c>
      <c r="I26" s="42">
        <v>3</v>
      </c>
      <c r="J26" s="42">
        <v>3</v>
      </c>
      <c r="K26" s="42">
        <v>3</v>
      </c>
      <c r="L26" s="42">
        <v>3</v>
      </c>
      <c r="M26" s="42">
        <v>3</v>
      </c>
      <c r="N26" s="42">
        <v>3</v>
      </c>
      <c r="O26" s="42">
        <v>3</v>
      </c>
      <c r="P26" s="42">
        <v>3</v>
      </c>
      <c r="Q26" s="42">
        <v>3</v>
      </c>
      <c r="R26" s="42">
        <v>3</v>
      </c>
      <c r="S26" s="42">
        <v>3</v>
      </c>
      <c r="T26" s="42">
        <v>3</v>
      </c>
      <c r="U26" s="42">
        <v>2</v>
      </c>
      <c r="V26" s="43">
        <f t="shared" si="1"/>
        <v>41</v>
      </c>
      <c r="W26" s="44">
        <f t="shared" si="2"/>
        <v>1742.5</v>
      </c>
      <c r="X26" s="45">
        <f t="shared" si="3"/>
        <v>0</v>
      </c>
      <c r="Y26" s="43">
        <v>40</v>
      </c>
      <c r="Z26" s="14"/>
    </row>
    <row r="27" spans="2:30" s="1" customFormat="1" ht="34.5" customHeight="1" x14ac:dyDescent="0.25">
      <c r="B27" s="10"/>
      <c r="C27" s="38" t="s">
        <v>9</v>
      </c>
      <c r="D27" s="39" t="s">
        <v>10</v>
      </c>
      <c r="E27" s="40">
        <v>42.5</v>
      </c>
      <c r="F27" s="41">
        <v>0</v>
      </c>
      <c r="G27" s="99" t="s">
        <v>42</v>
      </c>
      <c r="H27" s="42">
        <v>3</v>
      </c>
      <c r="I27" s="42">
        <v>3</v>
      </c>
      <c r="J27" s="42">
        <v>3</v>
      </c>
      <c r="K27" s="42">
        <v>3</v>
      </c>
      <c r="L27" s="42">
        <v>3</v>
      </c>
      <c r="M27" s="42">
        <v>3</v>
      </c>
      <c r="N27" s="42">
        <v>3</v>
      </c>
      <c r="O27" s="42">
        <v>3</v>
      </c>
      <c r="P27" s="42">
        <v>3</v>
      </c>
      <c r="Q27" s="42">
        <v>3</v>
      </c>
      <c r="R27" s="42">
        <v>3</v>
      </c>
      <c r="S27" s="42">
        <v>3</v>
      </c>
      <c r="T27" s="42">
        <v>3</v>
      </c>
      <c r="U27" s="42">
        <v>2</v>
      </c>
      <c r="V27" s="46">
        <f t="shared" si="1"/>
        <v>41</v>
      </c>
      <c r="W27" s="47">
        <f t="shared" si="2"/>
        <v>1742.5</v>
      </c>
      <c r="X27" s="48">
        <f t="shared" si="3"/>
        <v>0</v>
      </c>
      <c r="Y27" s="46">
        <v>40</v>
      </c>
      <c r="Z27" s="14"/>
    </row>
    <row r="28" spans="2:30" s="8" customFormat="1" ht="31.5" customHeight="1" x14ac:dyDescent="0.3">
      <c r="C28" s="138" t="s">
        <v>33</v>
      </c>
      <c r="D28" s="138"/>
      <c r="E28" s="138"/>
      <c r="F28" s="138"/>
      <c r="G28" s="138"/>
      <c r="H28" s="132">
        <f t="shared" ref="H28:R28" si="4">SUM(H20:H23)</f>
        <v>12</v>
      </c>
      <c r="I28" s="132">
        <f t="shared" si="4"/>
        <v>12</v>
      </c>
      <c r="J28" s="132">
        <f t="shared" si="4"/>
        <v>12</v>
      </c>
      <c r="K28" s="132">
        <f t="shared" si="4"/>
        <v>12</v>
      </c>
      <c r="L28" s="132">
        <f t="shared" si="4"/>
        <v>12</v>
      </c>
      <c r="M28" s="132">
        <f t="shared" si="4"/>
        <v>12</v>
      </c>
      <c r="N28" s="132">
        <f t="shared" si="4"/>
        <v>12</v>
      </c>
      <c r="O28" s="132">
        <f t="shared" si="4"/>
        <v>12</v>
      </c>
      <c r="P28" s="132">
        <f t="shared" si="4"/>
        <v>12</v>
      </c>
      <c r="Q28" s="132">
        <f t="shared" si="4"/>
        <v>12</v>
      </c>
      <c r="R28" s="132">
        <f t="shared" si="4"/>
        <v>12</v>
      </c>
      <c r="S28" s="132">
        <f t="shared" ref="S28:U28" si="5">SUM(S20:S23)</f>
        <v>12</v>
      </c>
      <c r="T28" s="132">
        <f t="shared" si="5"/>
        <v>12</v>
      </c>
      <c r="U28" s="132">
        <f t="shared" si="5"/>
        <v>6</v>
      </c>
      <c r="V28" s="100">
        <f>SUM(V20:V23)</f>
        <v>162</v>
      </c>
      <c r="W28" s="76">
        <f>SUM(W20:W23)</f>
        <v>21870</v>
      </c>
      <c r="X28" s="77">
        <f>SUM(X20:X27)</f>
        <v>17820</v>
      </c>
      <c r="Y28" s="49"/>
      <c r="Z28" s="49"/>
    </row>
    <row r="29" spans="2:30" s="8" customFormat="1" ht="31.5" customHeight="1" x14ac:dyDescent="0.3">
      <c r="C29" s="138" t="s">
        <v>34</v>
      </c>
      <c r="D29" s="138"/>
      <c r="E29" s="138"/>
      <c r="F29" s="138"/>
      <c r="G29" s="138"/>
      <c r="H29" s="132">
        <f t="shared" ref="H29:X29" si="6">SUM(H24:H27)</f>
        <v>12</v>
      </c>
      <c r="I29" s="132">
        <f t="shared" si="6"/>
        <v>12</v>
      </c>
      <c r="J29" s="132">
        <f t="shared" si="6"/>
        <v>12</v>
      </c>
      <c r="K29" s="132">
        <f t="shared" si="6"/>
        <v>12</v>
      </c>
      <c r="L29" s="132">
        <f t="shared" si="6"/>
        <v>12</v>
      </c>
      <c r="M29" s="132">
        <f t="shared" si="6"/>
        <v>12</v>
      </c>
      <c r="N29" s="132">
        <f t="shared" si="6"/>
        <v>12</v>
      </c>
      <c r="O29" s="132">
        <f t="shared" si="6"/>
        <v>12</v>
      </c>
      <c r="P29" s="132">
        <f t="shared" si="6"/>
        <v>12</v>
      </c>
      <c r="Q29" s="132">
        <f t="shared" si="6"/>
        <v>12</v>
      </c>
      <c r="R29" s="132">
        <f t="shared" si="6"/>
        <v>12</v>
      </c>
      <c r="S29" s="132">
        <f t="shared" ref="S29:U29" si="7">SUM(S24:S27)</f>
        <v>12</v>
      </c>
      <c r="T29" s="132">
        <f t="shared" si="7"/>
        <v>12</v>
      </c>
      <c r="U29" s="132">
        <f t="shared" si="7"/>
        <v>8</v>
      </c>
      <c r="V29" s="100">
        <f>SUM(V24:V27)</f>
        <v>164</v>
      </c>
      <c r="W29" s="78">
        <f t="shared" si="6"/>
        <v>7585</v>
      </c>
      <c r="X29" s="79">
        <f t="shared" si="6"/>
        <v>0</v>
      </c>
      <c r="Y29" s="49"/>
      <c r="Z29" s="49"/>
    </row>
    <row r="30" spans="2:30" s="8" customFormat="1" ht="31.5" customHeight="1" x14ac:dyDescent="0.3">
      <c r="C30" s="139" t="s">
        <v>35</v>
      </c>
      <c r="D30" s="139"/>
      <c r="E30" s="139"/>
      <c r="F30" s="139"/>
      <c r="G30" s="139"/>
      <c r="H30" s="80">
        <f t="shared" ref="H30:V30" si="8">SUM(H28:H29)</f>
        <v>24</v>
      </c>
      <c r="I30" s="80">
        <f t="shared" si="8"/>
        <v>24</v>
      </c>
      <c r="J30" s="80">
        <f t="shared" si="8"/>
        <v>24</v>
      </c>
      <c r="K30" s="80">
        <f t="shared" si="8"/>
        <v>24</v>
      </c>
      <c r="L30" s="80">
        <f t="shared" si="8"/>
        <v>24</v>
      </c>
      <c r="M30" s="80">
        <f t="shared" si="8"/>
        <v>24</v>
      </c>
      <c r="N30" s="80">
        <f t="shared" si="8"/>
        <v>24</v>
      </c>
      <c r="O30" s="80">
        <f t="shared" si="8"/>
        <v>24</v>
      </c>
      <c r="P30" s="80">
        <f t="shared" si="8"/>
        <v>24</v>
      </c>
      <c r="Q30" s="80">
        <f t="shared" si="8"/>
        <v>24</v>
      </c>
      <c r="R30" s="80">
        <f t="shared" si="8"/>
        <v>24</v>
      </c>
      <c r="S30" s="80">
        <f t="shared" si="8"/>
        <v>24</v>
      </c>
      <c r="T30" s="80">
        <f t="shared" si="8"/>
        <v>24</v>
      </c>
      <c r="U30" s="80">
        <f t="shared" si="8"/>
        <v>14</v>
      </c>
      <c r="V30" s="101">
        <f t="shared" si="8"/>
        <v>326</v>
      </c>
      <c r="W30" s="81">
        <f>SUM(W28:W29)</f>
        <v>29455</v>
      </c>
      <c r="X30" s="82">
        <f>X28</f>
        <v>17820</v>
      </c>
      <c r="Y30" s="49"/>
      <c r="Z30" s="49"/>
    </row>
    <row r="31" spans="2:30" s="8" customFormat="1" ht="31.5" customHeight="1" x14ac:dyDescent="0.25">
      <c r="C31" s="127" t="s">
        <v>49</v>
      </c>
      <c r="D31" s="128"/>
      <c r="E31" s="128"/>
      <c r="F31" s="128"/>
      <c r="G31" s="129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67"/>
      <c r="W31" s="83">
        <v>3000</v>
      </c>
      <c r="X31" s="66">
        <v>2080</v>
      </c>
      <c r="Y31" s="49"/>
      <c r="Z31" s="49"/>
    </row>
    <row r="32" spans="2:30" s="8" customFormat="1" ht="31.5" customHeight="1" x14ac:dyDescent="0.25">
      <c r="C32" s="131" t="s">
        <v>53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84">
        <f>SUM(W30:W31)</f>
        <v>32455</v>
      </c>
      <c r="X32" s="85">
        <f>SUM(X30:X31)</f>
        <v>19900</v>
      </c>
      <c r="Y32" s="49"/>
      <c r="Z32" s="49"/>
    </row>
    <row r="33" spans="2:27" s="3" customFormat="1" ht="28.5" customHeight="1" x14ac:dyDescent="0.25"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123"/>
      <c r="W33" s="124">
        <f>(W32-X32)/W32</f>
        <v>0.38684332152210754</v>
      </c>
      <c r="X33" s="51"/>
      <c r="Y33" s="51"/>
      <c r="Z33" s="51"/>
      <c r="AA33" s="51"/>
    </row>
    <row r="34" spans="2:27" s="3" customFormat="1" ht="28.5" customHeight="1" x14ac:dyDescent="0.3">
      <c r="C34" s="52" t="s">
        <v>47</v>
      </c>
      <c r="D34" s="133" t="s">
        <v>27</v>
      </c>
      <c r="E34" s="133"/>
      <c r="F34" s="50"/>
      <c r="G34" s="50"/>
      <c r="H34" s="50"/>
      <c r="I34" s="137"/>
      <c r="J34" s="137"/>
      <c r="K34" s="137"/>
      <c r="L34" s="62"/>
      <c r="M34" s="62"/>
      <c r="N34" s="62"/>
      <c r="O34" s="125"/>
      <c r="P34" s="125"/>
      <c r="Q34" s="125"/>
      <c r="R34" s="125"/>
      <c r="S34" s="125"/>
      <c r="T34" s="125"/>
      <c r="U34" s="125"/>
      <c r="V34" s="51"/>
      <c r="W34" s="51"/>
    </row>
    <row r="35" spans="2:27" s="3" customFormat="1" ht="28.5" customHeight="1" x14ac:dyDescent="0.25">
      <c r="C35" s="87" t="s">
        <v>28</v>
      </c>
      <c r="D35" s="150">
        <v>7629685</v>
      </c>
      <c r="E35" s="150"/>
      <c r="F35" s="50"/>
      <c r="G35" s="86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1"/>
      <c r="W35" s="51"/>
      <c r="X35" s="51"/>
      <c r="Y35" s="51"/>
      <c r="Z35" s="51"/>
    </row>
    <row r="36" spans="2:27" s="3" customFormat="1" ht="28.5" customHeight="1" x14ac:dyDescent="0.25">
      <c r="C36" s="87" t="s">
        <v>8</v>
      </c>
      <c r="D36" s="150">
        <v>1549890</v>
      </c>
      <c r="E36" s="150"/>
      <c r="F36" s="50"/>
      <c r="G36" s="86"/>
      <c r="H36" s="50"/>
      <c r="I36" s="50"/>
      <c r="J36" s="50"/>
      <c r="K36" s="50"/>
      <c r="L36" s="69"/>
      <c r="M36" s="69"/>
      <c r="N36" s="69"/>
      <c r="O36" s="69"/>
      <c r="P36" s="155"/>
      <c r="Q36" s="155"/>
      <c r="R36" s="155"/>
      <c r="S36" s="155"/>
      <c r="T36" s="155"/>
      <c r="U36" s="155"/>
      <c r="V36" s="155"/>
      <c r="W36" s="155"/>
      <c r="X36" s="51"/>
      <c r="Y36" s="51"/>
      <c r="Z36" s="51"/>
    </row>
    <row r="37" spans="2:27" s="3" customFormat="1" ht="28.5" customHeight="1" x14ac:dyDescent="0.25">
      <c r="C37" s="87" t="s">
        <v>29</v>
      </c>
      <c r="D37" s="150">
        <v>602938</v>
      </c>
      <c r="E37" s="150"/>
      <c r="F37" s="50"/>
      <c r="G37" s="86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1"/>
      <c r="Y37" s="51"/>
      <c r="Z37" s="51"/>
      <c r="AA37" s="51"/>
    </row>
    <row r="38" spans="2:27" s="3" customFormat="1" ht="28.5" customHeight="1" thickBot="1" x14ac:dyDescent="0.45">
      <c r="C38" s="96" t="s">
        <v>25</v>
      </c>
      <c r="D38" s="151">
        <f>SUM(D35:D37)</f>
        <v>9782513</v>
      </c>
      <c r="E38" s="151"/>
      <c r="F38" s="50"/>
      <c r="G38" s="50"/>
      <c r="H38" s="50"/>
      <c r="I38" s="50"/>
      <c r="J38" s="50"/>
      <c r="K38" s="137" t="s">
        <v>37</v>
      </c>
      <c r="L38" s="137"/>
      <c r="M38" s="137"/>
      <c r="N38" s="68"/>
      <c r="O38" s="68"/>
      <c r="P38" s="68"/>
      <c r="Q38" s="53"/>
      <c r="R38" s="53"/>
      <c r="S38" s="53"/>
      <c r="T38" s="53"/>
      <c r="U38" s="53"/>
      <c r="V38" s="54"/>
      <c r="W38" s="51"/>
      <c r="X38" s="51"/>
      <c r="Y38" s="51"/>
      <c r="Z38" s="51"/>
      <c r="AA38" s="51"/>
    </row>
    <row r="39" spans="2:27" s="3" customFormat="1" ht="30" customHeight="1" x14ac:dyDescent="0.3"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147" t="s">
        <v>38</v>
      </c>
      <c r="U39" s="147"/>
      <c r="V39" s="147"/>
      <c r="W39" s="147"/>
      <c r="X39" s="51"/>
      <c r="Y39" s="51"/>
      <c r="Z39" s="51"/>
      <c r="AA39" s="51"/>
    </row>
    <row r="40" spans="2:27" s="90" customFormat="1" ht="28.5" customHeight="1" x14ac:dyDescent="0.4">
      <c r="B40" s="153" t="s">
        <v>54</v>
      </c>
      <c r="C40" s="153"/>
      <c r="D40" s="153"/>
      <c r="E40" s="153"/>
      <c r="F40" s="153"/>
      <c r="G40" s="153"/>
      <c r="H40" s="153"/>
      <c r="I40" s="153"/>
      <c r="J40" s="153"/>
      <c r="K40" s="50"/>
      <c r="L40" s="50"/>
      <c r="M40" s="50"/>
      <c r="N40" s="148" t="s">
        <v>62</v>
      </c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</row>
    <row r="41" spans="2:27" s="3" customFormat="1" ht="28.5" customHeight="1" x14ac:dyDescent="0.25">
      <c r="B41" s="11"/>
      <c r="C41" s="91" t="s">
        <v>55</v>
      </c>
      <c r="D41" s="91"/>
      <c r="E41" s="91"/>
      <c r="F41" s="91"/>
      <c r="G41" s="91"/>
      <c r="H41" s="91"/>
      <c r="I41" s="11"/>
      <c r="J41" s="11"/>
      <c r="K41" s="50"/>
      <c r="L41" s="50"/>
      <c r="M41" s="50"/>
      <c r="N41" s="50"/>
      <c r="O41" s="50"/>
      <c r="P41" s="50"/>
      <c r="Q41" s="50"/>
      <c r="R41" s="27"/>
      <c r="S41" s="27"/>
      <c r="T41" s="27"/>
      <c r="U41" s="27"/>
      <c r="V41" s="27"/>
      <c r="W41" s="27"/>
      <c r="X41" s="27"/>
      <c r="Y41" s="27"/>
      <c r="Z41" s="51"/>
      <c r="AA41" s="51"/>
    </row>
    <row r="42" spans="2:27" s="3" customFormat="1" ht="28.5" customHeight="1" x14ac:dyDescent="0.25">
      <c r="B42" s="11"/>
      <c r="C42" s="154" t="s">
        <v>56</v>
      </c>
      <c r="D42" s="154"/>
      <c r="E42" s="154"/>
      <c r="F42" s="154"/>
      <c r="G42" s="154"/>
      <c r="H42" s="91"/>
      <c r="I42" s="11"/>
      <c r="J42" s="11"/>
      <c r="K42" s="50"/>
      <c r="L42" s="50"/>
      <c r="M42" s="50"/>
      <c r="N42" s="50"/>
      <c r="O42" s="50"/>
      <c r="P42" s="50"/>
      <c r="Q42" s="50"/>
      <c r="R42" s="27"/>
      <c r="S42" s="27"/>
      <c r="T42" s="27"/>
      <c r="U42" s="27"/>
      <c r="V42" s="27"/>
      <c r="W42" s="27"/>
      <c r="X42" s="27"/>
      <c r="Y42" s="27"/>
      <c r="Z42" s="51"/>
      <c r="AA42" s="51"/>
    </row>
    <row r="43" spans="2:27" s="3" customFormat="1" ht="28.5" customHeight="1" x14ac:dyDescent="0.3">
      <c r="C43" s="152" t="s">
        <v>50</v>
      </c>
      <c r="D43" s="152"/>
      <c r="E43" s="92">
        <f>425*4</f>
        <v>1700</v>
      </c>
      <c r="F43" s="73"/>
      <c r="G43" s="73"/>
      <c r="H43" s="73"/>
      <c r="I43" s="72"/>
      <c r="J43" s="50"/>
      <c r="K43" s="50"/>
      <c r="L43" s="50"/>
      <c r="M43" s="50"/>
      <c r="N43" s="50"/>
      <c r="O43" s="50"/>
      <c r="P43" s="50"/>
      <c r="Q43" s="50"/>
      <c r="R43" s="27"/>
      <c r="S43" s="27"/>
      <c r="T43" s="27"/>
      <c r="U43" s="27"/>
      <c r="V43" s="27"/>
      <c r="W43" s="27"/>
      <c r="X43" s="27"/>
      <c r="Y43" s="27"/>
      <c r="Z43" s="51"/>
      <c r="AA43" s="51"/>
    </row>
    <row r="44" spans="2:27" s="3" customFormat="1" ht="28.5" customHeight="1" x14ac:dyDescent="0.3">
      <c r="C44" s="152" t="s">
        <v>51</v>
      </c>
      <c r="D44" s="152"/>
      <c r="E44" s="92">
        <f>325*4</f>
        <v>1300</v>
      </c>
      <c r="F44" s="73"/>
      <c r="G44" s="73"/>
      <c r="H44" s="73"/>
      <c r="I44" s="72"/>
      <c r="J44" s="50"/>
      <c r="K44" s="50"/>
      <c r="L44" s="50"/>
      <c r="M44" s="50"/>
      <c r="N44" s="50"/>
      <c r="O44" s="50"/>
      <c r="P44" s="50"/>
      <c r="Q44" s="50"/>
      <c r="R44" s="27"/>
      <c r="S44" s="27"/>
      <c r="T44" s="27"/>
      <c r="U44" s="27"/>
      <c r="V44" s="27"/>
      <c r="W44" s="27"/>
      <c r="X44" s="27"/>
      <c r="Y44" s="27"/>
      <c r="Z44" s="51"/>
      <c r="AA44" s="51"/>
    </row>
    <row r="45" spans="2:27" ht="30" customHeight="1" x14ac:dyDescent="0.35">
      <c r="C45" s="93"/>
      <c r="D45" s="94" t="s">
        <v>52</v>
      </c>
      <c r="E45" s="95">
        <f>SUM(E43:E44)</f>
        <v>3000</v>
      </c>
      <c r="F45" s="59"/>
      <c r="G45" s="59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7"/>
      <c r="Y45" s="58"/>
      <c r="Z45" s="24"/>
      <c r="AA45" s="24"/>
    </row>
    <row r="46" spans="2:27" ht="30" customHeight="1" x14ac:dyDescent="0.35">
      <c r="C46" s="59"/>
      <c r="D46" s="74" t="s">
        <v>23</v>
      </c>
      <c r="E46" s="75">
        <v>2080</v>
      </c>
      <c r="F46" s="59"/>
      <c r="G46" s="59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7"/>
      <c r="Y46" s="58"/>
      <c r="Z46" s="24"/>
      <c r="AA46" s="24"/>
    </row>
    <row r="47" spans="2:27" ht="30" customHeight="1" x14ac:dyDescent="0.35">
      <c r="C47" s="59"/>
      <c r="D47" s="71"/>
      <c r="E47" s="70"/>
      <c r="F47" s="59"/>
      <c r="G47" s="59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7"/>
      <c r="Y47" s="58"/>
      <c r="Z47" s="24"/>
      <c r="AA47" s="24"/>
    </row>
    <row r="48" spans="2:27" ht="30" customHeight="1" x14ac:dyDescent="0.35">
      <c r="C48" s="59"/>
      <c r="D48" s="70"/>
      <c r="E48" s="70"/>
      <c r="F48" s="59"/>
      <c r="G48" s="59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7"/>
      <c r="Y48" s="58"/>
      <c r="Z48" s="24"/>
      <c r="AA48" s="24"/>
    </row>
    <row r="49" spans="3:27" s="88" customFormat="1" ht="25.15" customHeight="1" x14ac:dyDescent="0.4">
      <c r="C49" s="55" t="s">
        <v>31</v>
      </c>
      <c r="H49" s="89"/>
      <c r="X49" s="89"/>
    </row>
    <row r="50" spans="3:27" ht="25.15" customHeight="1" x14ac:dyDescent="0.3">
      <c r="C50" s="156" t="s">
        <v>36</v>
      </c>
      <c r="D50" s="156"/>
      <c r="E50" s="156"/>
      <c r="F50" s="156"/>
      <c r="G50" s="60"/>
      <c r="H50" s="61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61"/>
      <c r="Y50" s="24"/>
      <c r="Z50" s="24"/>
      <c r="AA50" s="24"/>
    </row>
    <row r="51" spans="3:27" ht="25.15" customHeight="1" x14ac:dyDescent="0.35">
      <c r="C51" s="62" t="s">
        <v>32</v>
      </c>
      <c r="D51" s="24"/>
      <c r="E51" s="24"/>
      <c r="F51" s="24"/>
      <c r="G51" s="24"/>
      <c r="H51" s="63"/>
      <c r="I51" s="64"/>
      <c r="J51" s="6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61"/>
      <c r="Y51" s="24"/>
      <c r="Z51" s="24"/>
      <c r="AA51" s="24"/>
    </row>
    <row r="52" spans="3:27" ht="25.15" customHeight="1" x14ac:dyDescent="0.3">
      <c r="C52" s="62"/>
      <c r="D52" s="24"/>
      <c r="E52" s="24"/>
      <c r="F52" s="149" t="s">
        <v>39</v>
      </c>
      <c r="G52" s="149"/>
      <c r="H52" s="149"/>
      <c r="I52" s="149"/>
      <c r="J52" s="149"/>
      <c r="K52" s="149"/>
      <c r="L52" s="149"/>
      <c r="M52" s="149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61"/>
      <c r="Y52" s="24"/>
      <c r="Z52" s="24"/>
      <c r="AA52" s="24"/>
    </row>
    <row r="53" spans="3:27" ht="25.15" customHeight="1" x14ac:dyDescent="0.25">
      <c r="C53" s="24"/>
      <c r="D53" s="24"/>
      <c r="E53" s="24"/>
      <c r="F53" s="24"/>
      <c r="G53" s="24"/>
      <c r="H53" s="61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61"/>
      <c r="Y53" s="24"/>
      <c r="Z53" s="24"/>
      <c r="AA53" s="24"/>
    </row>
    <row r="54" spans="3:27" ht="25.15" customHeight="1" x14ac:dyDescent="0.25">
      <c r="C54" s="24"/>
      <c r="D54" s="24"/>
      <c r="E54" s="24"/>
      <c r="F54" s="24"/>
      <c r="G54" s="24"/>
      <c r="H54" s="61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61"/>
      <c r="Y54" s="24"/>
      <c r="Z54" s="24"/>
      <c r="AA54" s="24"/>
    </row>
    <row r="55" spans="3:27" ht="25.15" customHeight="1" x14ac:dyDescent="0.25">
      <c r="C55" s="24"/>
      <c r="D55" s="24"/>
      <c r="E55" s="24"/>
      <c r="F55" s="24"/>
      <c r="G55" s="24"/>
      <c r="H55" s="61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61"/>
      <c r="Y55" s="24"/>
      <c r="Z55" s="24"/>
      <c r="AA55" s="24"/>
    </row>
    <row r="56" spans="3:27" ht="25.15" customHeight="1" x14ac:dyDescent="0.25">
      <c r="C56" s="24"/>
      <c r="D56" s="24"/>
      <c r="E56" s="24"/>
      <c r="F56" s="24"/>
      <c r="G56" s="24"/>
      <c r="H56" s="61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61"/>
      <c r="Y56" s="24"/>
      <c r="Z56" s="24"/>
      <c r="AA56" s="24"/>
    </row>
    <row r="57" spans="3:27" ht="25.15" customHeight="1" x14ac:dyDescent="0.25">
      <c r="C57" s="24"/>
      <c r="D57" s="24"/>
      <c r="E57" s="24"/>
      <c r="F57" s="24"/>
      <c r="G57" s="24"/>
      <c r="H57" s="61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61"/>
      <c r="Y57" s="24"/>
      <c r="Z57" s="24"/>
      <c r="AA57" s="24"/>
    </row>
    <row r="58" spans="3:27" ht="25.15" customHeight="1" x14ac:dyDescent="0.25">
      <c r="C58" s="24"/>
      <c r="D58" s="24"/>
      <c r="E58" s="24"/>
      <c r="F58" s="24"/>
      <c r="G58" s="24"/>
      <c r="H58" s="61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61"/>
      <c r="Y58" s="24"/>
      <c r="Z58" s="24"/>
      <c r="AA58" s="24"/>
    </row>
    <row r="59" spans="3:27" ht="25.15" customHeight="1" x14ac:dyDescent="0.25">
      <c r="C59" s="24"/>
      <c r="D59" s="24"/>
      <c r="E59" s="24"/>
      <c r="F59" s="24"/>
      <c r="G59" s="24"/>
      <c r="H59" s="61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61"/>
      <c r="Y59" s="24"/>
      <c r="Z59" s="24"/>
      <c r="AA59" s="24"/>
    </row>
    <row r="60" spans="3:27" ht="25.15" customHeight="1" x14ac:dyDescent="0.25">
      <c r="C60" s="24"/>
      <c r="D60" s="24"/>
      <c r="E60" s="24"/>
      <c r="F60" s="24"/>
      <c r="G60" s="24"/>
      <c r="H60" s="61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61"/>
      <c r="Y60" s="24"/>
      <c r="Z60" s="24"/>
      <c r="AA60" s="24"/>
    </row>
    <row r="61" spans="3:27" ht="25.15" customHeight="1" x14ac:dyDescent="0.25">
      <c r="C61" s="24"/>
      <c r="D61" s="24"/>
      <c r="E61" s="24"/>
      <c r="F61" s="24"/>
      <c r="G61" s="24"/>
      <c r="H61" s="61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61"/>
      <c r="Y61" s="24"/>
      <c r="Z61" s="24"/>
      <c r="AA61" s="24"/>
    </row>
    <row r="62" spans="3:27" ht="25.15" customHeight="1" x14ac:dyDescent="0.25">
      <c r="C62" s="24"/>
      <c r="D62" s="24"/>
      <c r="E62" s="24"/>
      <c r="F62" s="24"/>
      <c r="G62" s="24"/>
      <c r="H62" s="61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61"/>
      <c r="Y62" s="24"/>
      <c r="Z62" s="24"/>
      <c r="AA62" s="24"/>
    </row>
    <row r="63" spans="3:27" ht="25.15" customHeight="1" x14ac:dyDescent="0.25">
      <c r="C63" s="24"/>
      <c r="D63" s="24"/>
      <c r="E63" s="24"/>
      <c r="F63" s="24"/>
      <c r="G63" s="24"/>
      <c r="H63" s="61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61"/>
      <c r="Y63" s="24"/>
      <c r="Z63" s="24"/>
      <c r="AA63" s="24"/>
    </row>
    <row r="64" spans="3:27" ht="25.15" customHeight="1" x14ac:dyDescent="0.25">
      <c r="C64" s="24"/>
      <c r="D64" s="24"/>
      <c r="E64" s="24"/>
      <c r="F64" s="24"/>
      <c r="G64" s="24"/>
      <c r="H64" s="61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61"/>
      <c r="Y64" s="24"/>
      <c r="Z64" s="24"/>
      <c r="AA64" s="24"/>
    </row>
    <row r="65" spans="3:27" ht="25.15" customHeight="1" x14ac:dyDescent="0.25">
      <c r="C65" s="24"/>
      <c r="D65" s="24"/>
      <c r="E65" s="24"/>
      <c r="F65" s="24"/>
      <c r="G65" s="24"/>
      <c r="H65" s="61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61"/>
      <c r="Y65" s="24"/>
      <c r="Z65" s="24"/>
      <c r="AA65" s="24"/>
    </row>
    <row r="66" spans="3:27" ht="25.15" customHeight="1" x14ac:dyDescent="0.25">
      <c r="C66" s="24"/>
      <c r="D66" s="24"/>
      <c r="E66" s="24"/>
      <c r="F66" s="24"/>
      <c r="G66" s="24"/>
      <c r="H66" s="61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61"/>
      <c r="Y66" s="24"/>
      <c r="Z66" s="24"/>
      <c r="AA66" s="24"/>
    </row>
    <row r="67" spans="3:27" ht="25.15" customHeight="1" x14ac:dyDescent="0.25">
      <c r="C67" s="24"/>
      <c r="D67" s="24"/>
      <c r="E67" s="24"/>
      <c r="F67" s="24"/>
      <c r="G67" s="24"/>
      <c r="H67" s="61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61"/>
      <c r="Y67" s="24"/>
      <c r="Z67" s="24"/>
      <c r="AA67" s="24"/>
    </row>
    <row r="68" spans="3:27" ht="25.15" customHeight="1" x14ac:dyDescent="0.25">
      <c r="C68" s="24"/>
      <c r="D68" s="24"/>
      <c r="E68" s="24"/>
      <c r="F68" s="24"/>
      <c r="G68" s="24"/>
      <c r="H68" s="61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61"/>
      <c r="Y68" s="24"/>
      <c r="Z68" s="24"/>
      <c r="AA68" s="24"/>
    </row>
    <row r="69" spans="3:27" ht="25.15" customHeight="1" x14ac:dyDescent="0.25">
      <c r="C69" s="24"/>
      <c r="D69" s="24"/>
      <c r="E69" s="24"/>
      <c r="F69" s="24"/>
      <c r="G69" s="24"/>
      <c r="H69" s="61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61"/>
      <c r="Y69" s="24"/>
      <c r="Z69" s="24"/>
      <c r="AA69" s="24"/>
    </row>
    <row r="70" spans="3:27" ht="25.15" customHeight="1" x14ac:dyDescent="0.25">
      <c r="C70" s="24"/>
      <c r="D70" s="24"/>
      <c r="E70" s="24"/>
      <c r="F70" s="24"/>
      <c r="G70" s="24"/>
      <c r="H70" s="61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61"/>
      <c r="Y70" s="24"/>
      <c r="Z70" s="24"/>
      <c r="AA70" s="24"/>
    </row>
    <row r="71" spans="3:27" ht="25.15" customHeight="1" x14ac:dyDescent="0.25">
      <c r="C71" s="24"/>
      <c r="D71" s="24"/>
      <c r="E71" s="24"/>
      <c r="F71" s="24"/>
      <c r="G71" s="24"/>
      <c r="H71" s="61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61"/>
      <c r="Y71" s="24"/>
      <c r="Z71" s="24"/>
      <c r="AA71" s="24"/>
    </row>
    <row r="72" spans="3:27" ht="25.15" customHeight="1" x14ac:dyDescent="0.25">
      <c r="C72" s="24"/>
      <c r="D72" s="24"/>
      <c r="E72" s="24"/>
      <c r="F72" s="24"/>
      <c r="G72" s="24"/>
      <c r="H72" s="61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61"/>
      <c r="Y72" s="24"/>
      <c r="Z72" s="24"/>
      <c r="AA72" s="24"/>
    </row>
    <row r="73" spans="3:27" ht="25.15" customHeight="1" x14ac:dyDescent="0.25">
      <c r="C73" s="24"/>
      <c r="D73" s="24"/>
      <c r="E73" s="24"/>
      <c r="F73" s="24"/>
      <c r="G73" s="24"/>
      <c r="H73" s="61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61"/>
      <c r="Y73" s="24"/>
      <c r="Z73" s="24"/>
      <c r="AA73" s="24"/>
    </row>
    <row r="74" spans="3:27" ht="25.15" customHeight="1" x14ac:dyDescent="0.25">
      <c r="C74" s="24"/>
      <c r="D74" s="24"/>
      <c r="E74" s="24"/>
      <c r="F74" s="24"/>
      <c r="G74" s="24"/>
      <c r="H74" s="61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61"/>
      <c r="Y74" s="24"/>
      <c r="Z74" s="24"/>
      <c r="AA74" s="24"/>
    </row>
    <row r="75" spans="3:27" ht="25.15" customHeight="1" x14ac:dyDescent="0.25">
      <c r="C75" s="24"/>
      <c r="D75" s="24"/>
      <c r="E75" s="24"/>
      <c r="F75" s="24"/>
      <c r="G75" s="24"/>
      <c r="H75" s="61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61"/>
      <c r="Y75" s="24"/>
      <c r="Z75" s="24"/>
      <c r="AA75" s="24"/>
    </row>
    <row r="76" spans="3:27" ht="25.15" customHeight="1" x14ac:dyDescent="0.25">
      <c r="C76" s="24"/>
      <c r="D76" s="24"/>
      <c r="E76" s="24"/>
      <c r="F76" s="24"/>
      <c r="G76" s="24"/>
      <c r="H76" s="61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61"/>
      <c r="Y76" s="24"/>
      <c r="Z76" s="24"/>
      <c r="AA76" s="24"/>
    </row>
    <row r="77" spans="3:27" ht="25.15" customHeight="1" x14ac:dyDescent="0.25">
      <c r="C77" s="24"/>
      <c r="D77" s="24"/>
      <c r="E77" s="24"/>
      <c r="F77" s="24"/>
      <c r="G77" s="24"/>
      <c r="H77" s="61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61"/>
      <c r="Y77" s="24"/>
      <c r="Z77" s="24"/>
      <c r="AA77" s="24"/>
    </row>
    <row r="78" spans="3:27" ht="25.15" customHeight="1" x14ac:dyDescent="0.25">
      <c r="C78" s="24"/>
      <c r="D78" s="24"/>
      <c r="E78" s="24"/>
      <c r="F78" s="24"/>
      <c r="G78" s="24"/>
      <c r="H78" s="61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61"/>
      <c r="Y78" s="24"/>
      <c r="Z78" s="24"/>
      <c r="AA78" s="24"/>
    </row>
    <row r="79" spans="3:27" ht="25.15" customHeight="1" x14ac:dyDescent="0.25">
      <c r="C79" s="24"/>
      <c r="D79" s="24"/>
      <c r="E79" s="24"/>
      <c r="F79" s="24"/>
      <c r="G79" s="24"/>
      <c r="H79" s="61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61"/>
      <c r="Y79" s="24"/>
      <c r="Z79" s="24"/>
      <c r="AA79" s="24"/>
    </row>
    <row r="80" spans="3:27" ht="25.15" customHeight="1" x14ac:dyDescent="0.25">
      <c r="C80" s="24"/>
      <c r="D80" s="24"/>
      <c r="E80" s="24"/>
      <c r="F80" s="24"/>
      <c r="G80" s="24"/>
      <c r="H80" s="61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61"/>
      <c r="Y80" s="24"/>
      <c r="Z80" s="24"/>
      <c r="AA80" s="24"/>
    </row>
    <row r="81" spans="3:27" ht="25.15" customHeight="1" x14ac:dyDescent="0.25">
      <c r="C81" s="24"/>
      <c r="D81" s="24"/>
      <c r="E81" s="24"/>
      <c r="F81" s="24"/>
      <c r="G81" s="24"/>
      <c r="H81" s="61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61"/>
      <c r="Y81" s="24"/>
      <c r="Z81" s="24"/>
      <c r="AA81" s="24"/>
    </row>
    <row r="82" spans="3:27" ht="25.15" customHeight="1" x14ac:dyDescent="0.25">
      <c r="C82" s="24"/>
      <c r="D82" s="24"/>
      <c r="E82" s="24"/>
      <c r="F82" s="24"/>
      <c r="G82" s="24"/>
      <c r="H82" s="61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61"/>
      <c r="Y82" s="24"/>
      <c r="Z82" s="24"/>
      <c r="AA82" s="24"/>
    </row>
    <row r="83" spans="3:27" ht="25.15" customHeight="1" x14ac:dyDescent="0.25">
      <c r="C83" s="24"/>
      <c r="D83" s="24"/>
      <c r="E83" s="24"/>
      <c r="F83" s="24"/>
      <c r="G83" s="24"/>
      <c r="H83" s="61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61"/>
      <c r="Y83" s="24"/>
      <c r="Z83" s="24"/>
      <c r="AA83" s="24"/>
    </row>
    <row r="84" spans="3:27" ht="25.15" customHeight="1" x14ac:dyDescent="0.25">
      <c r="C84" s="24"/>
      <c r="D84" s="24"/>
      <c r="E84" s="24"/>
      <c r="F84" s="24"/>
      <c r="G84" s="24"/>
      <c r="H84" s="61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61"/>
      <c r="Y84" s="24"/>
      <c r="Z84" s="24"/>
      <c r="AA84" s="24"/>
    </row>
    <row r="85" spans="3:27" ht="25.15" customHeight="1" x14ac:dyDescent="0.25">
      <c r="C85" s="24"/>
      <c r="D85" s="24"/>
      <c r="E85" s="24"/>
      <c r="F85" s="24"/>
      <c r="G85" s="24"/>
      <c r="H85" s="61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61"/>
      <c r="Y85" s="24"/>
      <c r="Z85" s="24"/>
      <c r="AA85" s="24"/>
    </row>
    <row r="86" spans="3:27" ht="25.15" customHeight="1" x14ac:dyDescent="0.25">
      <c r="C86" s="24"/>
      <c r="D86" s="24"/>
      <c r="E86" s="24"/>
      <c r="F86" s="24"/>
      <c r="G86" s="24"/>
      <c r="H86" s="61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61"/>
      <c r="Y86" s="24"/>
      <c r="Z86" s="24"/>
      <c r="AA86" s="24"/>
    </row>
    <row r="87" spans="3:27" ht="25.15" customHeight="1" x14ac:dyDescent="0.25"/>
    <row r="88" spans="3:27" ht="25.15" customHeight="1" x14ac:dyDescent="0.25"/>
    <row r="89" spans="3:27" ht="25.15" customHeight="1" x14ac:dyDescent="0.25"/>
    <row r="90" spans="3:27" ht="25.15" customHeight="1" x14ac:dyDescent="0.25"/>
    <row r="91" spans="3:27" ht="25.15" customHeight="1" x14ac:dyDescent="0.25"/>
    <row r="92" spans="3:27" ht="25.15" customHeight="1" x14ac:dyDescent="0.25"/>
    <row r="93" spans="3:27" ht="25.15" customHeight="1" x14ac:dyDescent="0.25"/>
    <row r="94" spans="3:27" ht="25.15" customHeight="1" x14ac:dyDescent="0.25"/>
    <row r="95" spans="3:27" ht="25.15" customHeight="1" x14ac:dyDescent="0.25"/>
    <row r="96" spans="3:27" ht="25.15" customHeight="1" x14ac:dyDescent="0.25"/>
    <row r="97" ht="25.15" customHeight="1" x14ac:dyDescent="0.25"/>
  </sheetData>
  <mergeCells count="28">
    <mergeCell ref="V39:W39"/>
    <mergeCell ref="T39:U39"/>
    <mergeCell ref="N40:Y40"/>
    <mergeCell ref="F52:M52"/>
    <mergeCell ref="D35:E35"/>
    <mergeCell ref="D36:E36"/>
    <mergeCell ref="D37:E37"/>
    <mergeCell ref="D38:E38"/>
    <mergeCell ref="C43:D43"/>
    <mergeCell ref="C44:D44"/>
    <mergeCell ref="B40:J40"/>
    <mergeCell ref="C42:G42"/>
    <mergeCell ref="K38:M38"/>
    <mergeCell ref="P36:W36"/>
    <mergeCell ref="C50:F50"/>
    <mergeCell ref="X2:Y2"/>
    <mergeCell ref="H3:I3"/>
    <mergeCell ref="E2:L2"/>
    <mergeCell ref="F17:W17"/>
    <mergeCell ref="B15:J15"/>
    <mergeCell ref="D12:G12"/>
    <mergeCell ref="D34:E34"/>
    <mergeCell ref="H18:W18"/>
    <mergeCell ref="C18:G18"/>
    <mergeCell ref="I34:K34"/>
    <mergeCell ref="C28:G28"/>
    <mergeCell ref="C29:G29"/>
    <mergeCell ref="C30:G30"/>
  </mergeCells>
  <hyperlinks>
    <hyperlink ref="D9" r:id="rId1" display="mailto:alexander.boyle@crispin.com" xr:uid="{15FADBCE-9E96-43D1-B5DD-734DEE795E91}"/>
  </hyperlinks>
  <pageMargins left="0.7" right="0.7" top="0.75" bottom="0.75" header="0.3" footer="0.3"/>
  <pageSetup scale="30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BAAQMD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Legendary Era</dc:creator>
  <cp:lastModifiedBy>Lee Hudson</cp:lastModifiedBy>
  <cp:lastPrinted>2025-09-30T16:35:56Z</cp:lastPrinted>
  <dcterms:created xsi:type="dcterms:W3CDTF">2019-02-14T23:51:44Z</dcterms:created>
  <dcterms:modified xsi:type="dcterms:W3CDTF">2026-07-22T03:18:16Z</dcterms:modified>
</cp:coreProperties>
</file>