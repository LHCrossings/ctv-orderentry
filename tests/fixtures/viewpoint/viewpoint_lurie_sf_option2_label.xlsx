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rossingstv0-my.sharepoint.com/personal/charmaine_lane_crossingstv_com/Documents/"/>
    </mc:Choice>
  </mc:AlternateContent>
  <xr:revisionPtr revIDLastSave="77" documentId="8_{A63182A2-1116-4E7D-9C59-426B89274EAC}" xr6:coauthVersionLast="47" xr6:coauthVersionMax="47" xr10:uidLastSave="{0FE26AAD-CCD6-479A-8D0F-58F5B52E7EA1}"/>
  <bookViews>
    <workbookView xWindow="-108" yWindow="-108" windowWidth="23256" windowHeight="12456" xr2:uid="{00000000-000D-0000-FFFF-FFFF00000000}"/>
  </bookViews>
  <sheets>
    <sheet name="Crossings TV" sheetId="3" r:id="rId1"/>
    <sheet name="Sheet1" sheetId="5" state="hidden" r:id="rId2"/>
  </sheets>
  <externalReferences>
    <externalReference r:id="rId3"/>
  </externalReferences>
  <definedNames>
    <definedName name="ACAListEBITDA">[1]Ranking!#REF!,[1]Ranking!#REF!</definedName>
    <definedName name="ACAListNS">[1]Ranking!#REF!,[1]Ranking!#REF!</definedName>
    <definedName name="CHListEBITDA">[1]Ranking!#REF!,[1]Ranking!#REF!,[1]Ranking!#REF!,[1]Ranking!#REF!,[1]Ranking!#REF!,[1]Ranking!#REF!,[1]Ranking!#REF!,[1]Ranking!#REF!,[1]Ranking!#REF!</definedName>
    <definedName name="CHListNS">[1]Ranking!#REF!,[1]Ranking!#REF!,[1]Ranking!#REF!,[1]Ranking!#REF!,[1]Ranking!#REF!,[1]Ranking!#REF!,[1]Ranking!#REF!,[1]Ranking!#REF!,[1]Ranking!#REF!</definedName>
    <definedName name="ETListEBITDA">[1]Ranking!#REF!,[1]Ranking!#REF!,[1]Ranking!#REF!,[1]Ranking!#REF!,[1]Ranking!#REF!,[1]Ranking!#REF!,[1]Ranking!#REF!,[1]Ranking!#REF!,[1]Ranking!#REF!</definedName>
    <definedName name="ETListNS">[1]Ranking!#REF!,[1]Ranking!#REF!,[1]Ranking!#REF!,[1]Ranking!#REF!,[1]Ranking!#REF!,[1]Ranking!#REF!,[1]Ranking!#REF!,[1]Ranking!#REF!,[1]Ranking!#REF!</definedName>
    <definedName name="MBZRusnak">[1]Ranking!#REF!,[1]Ranking!#REF!,[1]Ranking!#REF!,[1]Ranking!#REF!,[1]Ranking!#REF!,[1]Ranking!#REF!,[1]Ranking!#REF!,[1]Ranking!#REF!,[1]Ranking!#REF!</definedName>
    <definedName name="Medium_Key">#REF!</definedName>
    <definedName name="OwnerRates">#REF!</definedName>
    <definedName name="RusnakMBZ2023">[1]Ranking!#REF!,[1]Ranking!#REF!</definedName>
    <definedName name="RusnakMBZQ22023">[1]Ranking!#REF!,[1]Ranking!#REF!</definedName>
    <definedName name="SIGListEBITDA">[1]Ranking!#REF!</definedName>
    <definedName name="SIGListNS">[1]Ranking!#REF!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6bh8Uf4gjmk4bGbSfnGaLzJRgBYZ6uTcQlTn6JEvLk="/>
    </ext>
  </extLst>
</workbook>
</file>

<file path=xl/calcChain.xml><?xml version="1.0" encoding="utf-8"?>
<calcChain xmlns="http://schemas.openxmlformats.org/spreadsheetml/2006/main">
  <c r="I24" i="3" l="1"/>
  <c r="J24" i="3" s="1"/>
  <c r="H26" i="3"/>
  <c r="I25" i="3"/>
  <c r="J25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J26" i="3" l="1"/>
  <c r="I26" i="3"/>
  <c r="D11" i="3" s="1"/>
  <c r="D12" i="3" s="1"/>
</calcChain>
</file>

<file path=xl/sharedStrings.xml><?xml version="1.0" encoding="utf-8"?>
<sst xmlns="http://schemas.openxmlformats.org/spreadsheetml/2006/main" count="94" uniqueCount="70">
  <si>
    <t>AGENCY</t>
  </si>
  <si>
    <t>Advertiser</t>
  </si>
  <si>
    <t>PREPARED BY:</t>
  </si>
  <si>
    <t>Unit</t>
  </si>
  <si>
    <t>Cantonese</t>
  </si>
  <si>
    <t>Korean</t>
  </si>
  <si>
    <t>M-F</t>
  </si>
  <si>
    <t>6a-7a</t>
  </si>
  <si>
    <t>8p-9p</t>
  </si>
  <si>
    <t>Mandarin Drama</t>
  </si>
  <si>
    <t>9p-10p</t>
  </si>
  <si>
    <t>Mandarin Entertainment</t>
  </si>
  <si>
    <t>10p-11:30p</t>
  </si>
  <si>
    <t>9p-12a</t>
  </si>
  <si>
    <t>Cantonese News</t>
  </si>
  <si>
    <t>7p-7:30p</t>
  </si>
  <si>
    <t>Cantonese Talk</t>
  </si>
  <si>
    <t>7:30p-8p</t>
  </si>
  <si>
    <t>11:30p-12a</t>
  </si>
  <si>
    <t>DMA</t>
  </si>
  <si>
    <t>Station</t>
  </si>
  <si>
    <t>Programming</t>
  </si>
  <si>
    <t>Los Angeles</t>
  </si>
  <si>
    <t>KXLA CH 44.4</t>
  </si>
  <si>
    <t>KXLA CH 44.3</t>
  </si>
  <si>
    <t>Mandarin</t>
  </si>
  <si>
    <t>Spectrum Cable KBS</t>
  </si>
  <si>
    <t>KSCI CH 18.3</t>
  </si>
  <si>
    <t>TVK 24</t>
  </si>
  <si>
    <t>Crossings TV (Spectrum 1519)</t>
  </si>
  <si>
    <t>Mandarin, Cantonese, Korean</t>
  </si>
  <si>
    <t>San Francisco</t>
  </si>
  <si>
    <t>KTSF</t>
  </si>
  <si>
    <t>Mandarin, Cantonese</t>
  </si>
  <si>
    <t>KCNS CH 38.2</t>
  </si>
  <si>
    <t>Crossings TV (KQTA CH 15.3)</t>
  </si>
  <si>
    <t>CHARMAINE LANE</t>
  </si>
  <si>
    <t>TOTAL GROSS BUDGET:</t>
  </si>
  <si>
    <t>TOTAL NET BUDGET</t>
  </si>
  <si>
    <t xml:space="preserve">Time </t>
  </si>
  <si>
    <t xml:space="preserve">Programming </t>
  </si>
  <si>
    <t>Gross Rate per :30s</t>
  </si>
  <si>
    <t xml:space="preserve">Mandarin News </t>
  </si>
  <si>
    <t>Sat</t>
  </si>
  <si>
    <t xml:space="preserve">Sat- Sun </t>
  </si>
  <si>
    <t>Sat&amp; Sun</t>
  </si>
  <si>
    <t>GROSS</t>
  </si>
  <si>
    <t xml:space="preserve">CROSSINGS TV                          SAN FRANCISCO </t>
  </si>
  <si>
    <t>Media /MARKET</t>
  </si>
  <si>
    <t xml:space="preserve">Approved by </t>
  </si>
  <si>
    <t>____________________________________________</t>
  </si>
  <si>
    <t>Client Signature</t>
  </si>
  <si>
    <t xml:space="preserve">TOTAL </t>
  </si>
  <si>
    <t>DAYS</t>
  </si>
  <si>
    <t>Thank you and we appreciate your partnership.</t>
  </si>
  <si>
    <t>Viewpoint Ads</t>
  </si>
  <si>
    <t xml:space="preserve">Contact: </t>
  </si>
  <si>
    <t xml:space="preserve">Maggie Hartzell </t>
  </si>
  <si>
    <t>TBD  ( Mayor Lurie Proposition)</t>
  </si>
  <si>
    <t>Email:</t>
  </si>
  <si>
    <t xml:space="preserve">maggie@viewpointads.com </t>
  </si>
  <si>
    <t>Phone number:</t>
  </si>
  <si>
    <t>262-806-2919</t>
  </si>
  <si>
    <t xml:space="preserve"> NET COST</t>
  </si>
  <si>
    <t>Flight Date Estimate:</t>
  </si>
  <si>
    <t>10/23 through 11/3  ends at 7am</t>
  </si>
  <si>
    <t>Billing:</t>
  </si>
  <si>
    <t>Broadcast month</t>
  </si>
  <si>
    <t>OPTION 2</t>
  </si>
  <si>
    <t>*Note: No separation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</si>
</sst>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6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Aptos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0"/>
      <name val="Arial"/>
      <family val="2"/>
      <scheme val="minor"/>
    </font>
    <font>
      <b/>
      <sz val="12"/>
      <color rgb="FFFF0000"/>
      <name val="Calibri"/>
      <family val="2"/>
    </font>
    <font>
      <b/>
      <sz val="16"/>
      <color rgb="FFFF0000"/>
      <name val="Calibri"/>
      <family val="2"/>
    </font>
    <font>
      <i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8" fontId="3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64" fontId="9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9" fillId="0" borderId="2" xfId="0" applyFont="1" applyBorder="1"/>
    <xf numFmtId="6" fontId="9" fillId="0" borderId="2" xfId="0" applyNumberFormat="1" applyFont="1" applyBorder="1"/>
    <xf numFmtId="164" fontId="9" fillId="0" borderId="2" xfId="0" applyNumberFormat="1" applyFont="1" applyBorder="1"/>
    <xf numFmtId="0" fontId="10" fillId="0" borderId="2" xfId="0" applyFont="1" applyBorder="1" applyAlignment="1">
      <alignment horizontal="right"/>
    </xf>
    <xf numFmtId="0" fontId="10" fillId="0" borderId="2" xfId="0" applyFont="1" applyBorder="1"/>
    <xf numFmtId="0" fontId="9" fillId="0" borderId="2" xfId="0" applyFont="1" applyBorder="1" applyAlignment="1">
      <alignment horizontal="center"/>
    </xf>
    <xf numFmtId="0" fontId="3" fillId="2" borderId="0" xfId="0" applyFont="1" applyFill="1" applyAlignment="1">
      <alignment horizontal="left"/>
    </xf>
    <xf numFmtId="0" fontId="8" fillId="0" borderId="0" xfId="0" applyFont="1"/>
    <xf numFmtId="0" fontId="11" fillId="0" borderId="0" xfId="2" applyAlignment="1"/>
    <xf numFmtId="0" fontId="12" fillId="0" borderId="0" xfId="2" applyFont="1" applyAlignment="1"/>
    <xf numFmtId="0" fontId="3" fillId="2" borderId="0" xfId="0" applyFont="1" applyFill="1"/>
    <xf numFmtId="0" fontId="9" fillId="0" borderId="2" xfId="0" applyFont="1" applyBorder="1" applyAlignment="1">
      <alignment wrapText="1"/>
    </xf>
    <xf numFmtId="164" fontId="10" fillId="0" borderId="2" xfId="1" applyNumberFormat="1" applyFont="1" applyBorder="1"/>
    <xf numFmtId="164" fontId="1" fillId="0" borderId="0" xfId="0" applyNumberFormat="1" applyFont="1"/>
    <xf numFmtId="164" fontId="1" fillId="0" borderId="2" xfId="0" applyNumberFormat="1" applyFont="1" applyBorder="1"/>
    <xf numFmtId="164" fontId="1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/>
    </xf>
    <xf numFmtId="44" fontId="4" fillId="0" borderId="3" xfId="0" applyNumberFormat="1" applyFont="1" applyBorder="1" applyAlignment="1">
      <alignment horizontal="center"/>
    </xf>
    <xf numFmtId="0" fontId="15" fillId="0" borderId="0" xfId="0" applyFont="1"/>
    <xf numFmtId="164" fontId="15" fillId="0" borderId="0" xfId="0" applyNumberFormat="1" applyFont="1" applyAlignment="1">
      <alignment horizontal="left"/>
    </xf>
    <xf numFmtId="0" fontId="14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129541</xdr:colOff>
      <xdr:row>0</xdr:row>
      <xdr:rowOff>0</xdr:rowOff>
    </xdr:from>
    <xdr:to>
      <xdr:col>1</xdr:col>
      <xdr:colOff>469771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3CCA00-D04C-48E0-94CA-8A68A3D36D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15244"/>
        <a:stretch/>
      </xdr:blipFill>
      <xdr:spPr>
        <a:xfrm>
          <a:off x="129541" y="0"/>
          <a:ext cx="965070" cy="861060"/>
        </a:xfrm>
        <a:prstGeom prst="rect">
          <a:avLst/>
        </a:prstGeom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PP01\APP01\APP01\APP01\APP01\APP01\APP01\APP01\APP01\APP01\APP01\APP01\APP01\Users\johncayne\Desktop\JC%20Inc\Global\Clients\RMR\2017\Store%20List\All%20Brand%20Unit%20List%20With%20Rankin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"/>
      <sheetName val="Units"/>
      <sheetName val="Store Visits"/>
      <sheetName val="Creative Performance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ggie@viewpointa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905"/>
  <sheetViews>
    <sheetView tabSelected="1" topLeftCell="A11" workbookViewId="0">
      <selection activeCell="L20" sqref="L20"/>
    </sheetView>
  </sheetViews>
  <sheetFormatPr defaultColWidth="12.6640625" defaultRowHeight="15" customHeight="1" x14ac:dyDescent="0.25"/>
  <cols>
    <col min="1" max="2" width="9.109375" customWidth="1"/>
    <col min="3" max="3" width="22" customWidth="1"/>
    <col min="4" max="4" width="38" customWidth="1"/>
    <col min="5" max="5" width="11.77734375" customWidth="1"/>
    <col min="6" max="6" width="17" customWidth="1"/>
    <col min="7" max="7" width="14.44140625" customWidth="1"/>
    <col min="8" max="8" width="11.77734375" customWidth="1"/>
    <col min="9" max="9" width="12.33203125" customWidth="1"/>
    <col min="10" max="10" width="21.77734375" customWidth="1"/>
    <col min="11" max="17" width="9.1093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.8" x14ac:dyDescent="0.5">
      <c r="A2" s="1"/>
      <c r="B2" s="2"/>
      <c r="C2" s="3"/>
      <c r="D2" s="3"/>
      <c r="E2" s="34" t="s">
        <v>68</v>
      </c>
      <c r="F2" s="34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5.8" x14ac:dyDescent="0.5">
      <c r="A3" s="1"/>
      <c r="B3" s="2"/>
      <c r="C3" s="3" t="s">
        <v>0</v>
      </c>
      <c r="D3" s="3" t="s">
        <v>55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5.8" x14ac:dyDescent="0.5">
      <c r="A4" s="1"/>
      <c r="B4" s="2"/>
      <c r="C4" s="3" t="s">
        <v>1</v>
      </c>
      <c r="D4" s="19" t="s">
        <v>58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5.8" x14ac:dyDescent="0.5">
      <c r="A5" s="1"/>
      <c r="B5" s="2"/>
      <c r="C5" s="3" t="s">
        <v>56</v>
      </c>
      <c r="D5" s="19" t="s">
        <v>57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5.8" x14ac:dyDescent="0.5">
      <c r="A6" s="1"/>
      <c r="B6" s="2"/>
      <c r="C6" s="3" t="s">
        <v>59</v>
      </c>
      <c r="D6" s="20" t="s">
        <v>60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5.8" x14ac:dyDescent="0.5">
      <c r="A7" s="1"/>
      <c r="B7" s="2"/>
      <c r="C7" s="3" t="s">
        <v>61</v>
      </c>
      <c r="D7" s="21" t="s">
        <v>62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6" x14ac:dyDescent="0.3">
      <c r="A8" s="1"/>
      <c r="B8" s="1"/>
      <c r="C8" s="3" t="s">
        <v>2</v>
      </c>
      <c r="D8" s="3" t="s">
        <v>36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6" x14ac:dyDescent="0.3">
      <c r="A9" s="1"/>
      <c r="B9" s="1"/>
      <c r="C9" s="22" t="s">
        <v>64</v>
      </c>
      <c r="D9" s="18" t="s">
        <v>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6" x14ac:dyDescent="0.3">
      <c r="A10" s="1"/>
      <c r="B10" s="1"/>
      <c r="C10" s="22" t="s">
        <v>66</v>
      </c>
      <c r="D10" s="18" t="s">
        <v>67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customHeight="1" x14ac:dyDescent="0.3">
      <c r="A11" s="1"/>
      <c r="B11" s="1"/>
      <c r="C11" s="3" t="s">
        <v>37</v>
      </c>
      <c r="D11" s="4">
        <f>I26</f>
        <v>30340</v>
      </c>
      <c r="E11" s="1"/>
      <c r="F11" s="1"/>
      <c r="G11" s="1"/>
      <c r="H11" s="1"/>
      <c r="I11" s="10"/>
      <c r="J11" s="1"/>
      <c r="K11" s="1"/>
      <c r="L11" s="1"/>
      <c r="M11" s="1"/>
      <c r="N11" s="1"/>
      <c r="O11" s="1"/>
      <c r="P11" s="1"/>
      <c r="Q11" s="1"/>
    </row>
    <row r="12" spans="1:17" ht="15.75" customHeight="1" x14ac:dyDescent="0.3">
      <c r="A12" s="1"/>
      <c r="B12" s="1"/>
      <c r="C12" s="3" t="s">
        <v>38</v>
      </c>
      <c r="D12" s="4">
        <f>D11*0.85</f>
        <v>25789</v>
      </c>
      <c r="E12" s="1"/>
      <c r="F12" s="1"/>
      <c r="G12" s="1"/>
      <c r="H12" s="1"/>
      <c r="I12" s="10"/>
      <c r="J12" s="1"/>
      <c r="K12" s="1"/>
      <c r="L12" s="1"/>
      <c r="M12" s="1"/>
      <c r="N12" s="1"/>
      <c r="O12" s="1"/>
      <c r="P12" s="1"/>
      <c r="Q12" s="1"/>
    </row>
    <row r="13" spans="1:17" ht="15.75" customHeight="1" x14ac:dyDescent="0.3">
      <c r="A13" s="1"/>
      <c r="B13" s="1"/>
      <c r="C13" s="3"/>
      <c r="D13" s="4"/>
      <c r="E13" s="1"/>
      <c r="F13" s="1"/>
      <c r="G13" s="1"/>
      <c r="H13" s="1"/>
      <c r="I13" s="10"/>
      <c r="J13" s="1"/>
      <c r="K13" s="1"/>
      <c r="L13" s="1"/>
      <c r="M13" s="1"/>
      <c r="N13" s="1"/>
      <c r="O13" s="1"/>
      <c r="P13" s="1"/>
      <c r="Q13" s="1"/>
    </row>
    <row r="14" spans="1:17" ht="15" customHeight="1" x14ac:dyDescent="0.3">
      <c r="A14" s="1"/>
      <c r="B14" s="1"/>
      <c r="C14" s="32" t="s">
        <v>69</v>
      </c>
      <c r="D14" s="33"/>
      <c r="E14" s="1"/>
      <c r="F14" s="1"/>
      <c r="G14" s="1"/>
      <c r="H14" s="1"/>
      <c r="I14" s="11"/>
      <c r="J14" s="1"/>
      <c r="K14" s="1"/>
      <c r="L14" s="1"/>
      <c r="M14" s="1"/>
      <c r="N14" s="1"/>
      <c r="O14" s="1"/>
      <c r="P14" s="1"/>
      <c r="Q14" s="1"/>
    </row>
    <row r="15" spans="1:17" ht="31.2" x14ac:dyDescent="0.3">
      <c r="A15" s="1"/>
      <c r="B15" s="1"/>
      <c r="C15" s="28" t="s">
        <v>48</v>
      </c>
      <c r="D15" s="28" t="s">
        <v>53</v>
      </c>
      <c r="E15" s="28" t="s">
        <v>39</v>
      </c>
      <c r="F15" s="28" t="s">
        <v>40</v>
      </c>
      <c r="G15" s="29" t="s">
        <v>41</v>
      </c>
      <c r="H15" s="28" t="s">
        <v>3</v>
      </c>
      <c r="I15" s="30" t="s">
        <v>46</v>
      </c>
      <c r="J15" s="31" t="s">
        <v>63</v>
      </c>
      <c r="K15" s="1"/>
      <c r="L15" s="1"/>
      <c r="M15" s="1"/>
      <c r="N15" s="1"/>
      <c r="O15" s="1"/>
      <c r="P15" s="1"/>
      <c r="Q15" s="1"/>
    </row>
    <row r="16" spans="1:17" ht="15.6" x14ac:dyDescent="0.3">
      <c r="A16" s="1"/>
      <c r="B16" s="1"/>
      <c r="C16" s="35" t="s">
        <v>47</v>
      </c>
      <c r="D16" s="17" t="s">
        <v>6</v>
      </c>
      <c r="E16" s="12" t="s">
        <v>7</v>
      </c>
      <c r="F16" s="12" t="s">
        <v>42</v>
      </c>
      <c r="G16" s="13">
        <v>120</v>
      </c>
      <c r="H16" s="12">
        <v>24</v>
      </c>
      <c r="I16" s="14">
        <f t="shared" ref="I16:I25" si="0">G16*H16</f>
        <v>2880</v>
      </c>
      <c r="J16" s="26">
        <f>I16*0.85</f>
        <v>2448</v>
      </c>
      <c r="K16" s="1"/>
      <c r="L16" s="1"/>
      <c r="M16" s="1"/>
      <c r="N16" s="1"/>
      <c r="O16" s="1"/>
      <c r="P16" s="1"/>
      <c r="Q16" s="1"/>
    </row>
    <row r="17" spans="1:17" ht="15.6" x14ac:dyDescent="0.3">
      <c r="A17" s="1"/>
      <c r="B17" s="1"/>
      <c r="C17" s="35"/>
      <c r="D17" s="17" t="s">
        <v>6</v>
      </c>
      <c r="E17" s="12" t="s">
        <v>15</v>
      </c>
      <c r="F17" s="12" t="s">
        <v>14</v>
      </c>
      <c r="G17" s="13">
        <v>212</v>
      </c>
      <c r="H17" s="12">
        <v>14</v>
      </c>
      <c r="I17" s="14">
        <f t="shared" si="0"/>
        <v>2968</v>
      </c>
      <c r="J17" s="26">
        <f t="shared" ref="J17:J25" si="1">I17*0.85</f>
        <v>2522.7999999999997</v>
      </c>
      <c r="K17" s="1"/>
      <c r="L17" s="1"/>
      <c r="M17" s="1"/>
      <c r="N17" s="1"/>
      <c r="O17" s="1"/>
      <c r="P17" s="1"/>
      <c r="Q17" s="1"/>
    </row>
    <row r="18" spans="1:17" ht="15.6" x14ac:dyDescent="0.3">
      <c r="A18" s="1"/>
      <c r="B18" s="1"/>
      <c r="C18" s="35"/>
      <c r="D18" s="17" t="s">
        <v>6</v>
      </c>
      <c r="E18" s="12" t="s">
        <v>17</v>
      </c>
      <c r="F18" s="12" t="s">
        <v>16</v>
      </c>
      <c r="G18" s="13">
        <v>212</v>
      </c>
      <c r="H18" s="12">
        <v>14</v>
      </c>
      <c r="I18" s="14">
        <f t="shared" si="0"/>
        <v>2968</v>
      </c>
      <c r="J18" s="26">
        <f t="shared" si="1"/>
        <v>2522.7999999999997</v>
      </c>
      <c r="K18" s="1"/>
      <c r="L18" s="1"/>
      <c r="M18" s="1"/>
      <c r="N18" s="1"/>
      <c r="O18" s="1"/>
      <c r="P18" s="1"/>
      <c r="Q18" s="1"/>
    </row>
    <row r="19" spans="1:17" ht="15.6" x14ac:dyDescent="0.3">
      <c r="A19" s="1"/>
      <c r="B19" s="1"/>
      <c r="C19" s="35"/>
      <c r="D19" s="17" t="s">
        <v>6</v>
      </c>
      <c r="E19" s="12" t="s">
        <v>8</v>
      </c>
      <c r="F19" s="12" t="s">
        <v>42</v>
      </c>
      <c r="G19" s="13">
        <v>212</v>
      </c>
      <c r="H19" s="12">
        <v>22</v>
      </c>
      <c r="I19" s="14">
        <f t="shared" si="0"/>
        <v>4664</v>
      </c>
      <c r="J19" s="26">
        <f t="shared" si="1"/>
        <v>3964.4</v>
      </c>
      <c r="K19" s="1"/>
      <c r="L19" s="1"/>
      <c r="M19" s="1"/>
      <c r="N19" s="1"/>
      <c r="O19" s="1"/>
      <c r="P19" s="1"/>
      <c r="Q19" s="1"/>
    </row>
    <row r="20" spans="1:17" ht="15.6" x14ac:dyDescent="0.3">
      <c r="A20" s="1"/>
      <c r="B20" s="1"/>
      <c r="C20" s="35"/>
      <c r="D20" s="17" t="s">
        <v>6</v>
      </c>
      <c r="E20" s="12" t="s">
        <v>10</v>
      </c>
      <c r="F20" s="12" t="s">
        <v>9</v>
      </c>
      <c r="G20" s="13">
        <v>212</v>
      </c>
      <c r="H20" s="12">
        <v>22</v>
      </c>
      <c r="I20" s="14">
        <f t="shared" si="0"/>
        <v>4664</v>
      </c>
      <c r="J20" s="26">
        <f t="shared" si="1"/>
        <v>3964.4</v>
      </c>
      <c r="K20" s="1"/>
      <c r="L20" s="1"/>
      <c r="M20" s="1"/>
      <c r="N20" s="1"/>
      <c r="O20" s="1"/>
      <c r="P20" s="1"/>
      <c r="Q20" s="1"/>
    </row>
    <row r="21" spans="1:17" ht="28.8" x14ac:dyDescent="0.3">
      <c r="A21" s="1"/>
      <c r="B21" s="1"/>
      <c r="C21" s="35"/>
      <c r="D21" s="17" t="s">
        <v>6</v>
      </c>
      <c r="E21" s="12" t="s">
        <v>12</v>
      </c>
      <c r="F21" s="23" t="s">
        <v>11</v>
      </c>
      <c r="G21" s="13">
        <v>212</v>
      </c>
      <c r="H21" s="12">
        <v>21</v>
      </c>
      <c r="I21" s="14">
        <f t="shared" si="0"/>
        <v>4452</v>
      </c>
      <c r="J21" s="26">
        <f t="shared" si="1"/>
        <v>3784.2</v>
      </c>
      <c r="K21" s="1"/>
      <c r="L21" s="1"/>
      <c r="M21" s="1"/>
      <c r="N21" s="1"/>
      <c r="O21" s="1"/>
      <c r="P21" s="1"/>
      <c r="Q21" s="1"/>
    </row>
    <row r="22" spans="1:17" ht="15.6" x14ac:dyDescent="0.3">
      <c r="A22" s="1"/>
      <c r="B22" s="1"/>
      <c r="C22" s="35"/>
      <c r="D22" s="17" t="s">
        <v>6</v>
      </c>
      <c r="E22" s="12" t="s">
        <v>18</v>
      </c>
      <c r="F22" s="12" t="s">
        <v>14</v>
      </c>
      <c r="G22" s="13">
        <v>212</v>
      </c>
      <c r="H22" s="12">
        <v>12</v>
      </c>
      <c r="I22" s="14">
        <f t="shared" si="0"/>
        <v>2544</v>
      </c>
      <c r="J22" s="26">
        <f t="shared" si="1"/>
        <v>2162.4</v>
      </c>
      <c r="K22" s="1"/>
      <c r="L22" s="1"/>
      <c r="M22" s="1"/>
      <c r="N22" s="1"/>
      <c r="O22" s="1"/>
      <c r="P22" s="1"/>
      <c r="Q22" s="1"/>
    </row>
    <row r="23" spans="1:17" ht="15.6" x14ac:dyDescent="0.3">
      <c r="A23" s="1"/>
      <c r="B23" s="1"/>
      <c r="C23" s="35"/>
      <c r="D23" s="17" t="s">
        <v>43</v>
      </c>
      <c r="E23" s="12" t="s">
        <v>7</v>
      </c>
      <c r="F23" s="12" t="s">
        <v>42</v>
      </c>
      <c r="G23" s="13">
        <v>90</v>
      </c>
      <c r="H23" s="12">
        <v>8</v>
      </c>
      <c r="I23" s="14">
        <f t="shared" si="0"/>
        <v>720</v>
      </c>
      <c r="J23" s="26">
        <f t="shared" si="1"/>
        <v>612</v>
      </c>
      <c r="K23" s="1"/>
      <c r="L23" s="1"/>
      <c r="M23" s="1"/>
      <c r="N23" s="1"/>
      <c r="O23" s="1"/>
      <c r="P23" s="1"/>
      <c r="Q23" s="1"/>
    </row>
    <row r="24" spans="1:17" ht="15.6" x14ac:dyDescent="0.3">
      <c r="A24" s="1"/>
      <c r="B24" s="1"/>
      <c r="C24" s="35"/>
      <c r="D24" s="17" t="s">
        <v>44</v>
      </c>
      <c r="E24" s="12" t="s">
        <v>8</v>
      </c>
      <c r="F24" s="12" t="s">
        <v>42</v>
      </c>
      <c r="G24" s="13">
        <v>140</v>
      </c>
      <c r="H24" s="12">
        <v>14</v>
      </c>
      <c r="I24" s="14">
        <f>G24*H24</f>
        <v>1960</v>
      </c>
      <c r="J24" s="26">
        <f t="shared" si="1"/>
        <v>1666</v>
      </c>
      <c r="K24" s="1"/>
      <c r="L24" s="1"/>
      <c r="M24" s="1"/>
      <c r="N24" s="1"/>
      <c r="O24" s="1"/>
      <c r="P24" s="1"/>
      <c r="Q24" s="1"/>
    </row>
    <row r="25" spans="1:17" ht="28.8" x14ac:dyDescent="0.3">
      <c r="A25" s="1"/>
      <c r="B25" s="1"/>
      <c r="C25" s="35"/>
      <c r="D25" s="17" t="s">
        <v>45</v>
      </c>
      <c r="E25" s="12" t="s">
        <v>13</v>
      </c>
      <c r="F25" s="23" t="s">
        <v>11</v>
      </c>
      <c r="G25" s="13">
        <v>140</v>
      </c>
      <c r="H25" s="12">
        <v>18</v>
      </c>
      <c r="I25" s="14">
        <f t="shared" si="0"/>
        <v>2520</v>
      </c>
      <c r="J25" s="26">
        <f t="shared" si="1"/>
        <v>2142</v>
      </c>
      <c r="K25" s="1"/>
      <c r="L25" s="1"/>
      <c r="M25" s="1"/>
      <c r="N25" s="1"/>
      <c r="O25" s="1"/>
      <c r="P25" s="1"/>
      <c r="Q25" s="1"/>
    </row>
    <row r="26" spans="1:17" ht="15.6" x14ac:dyDescent="0.3">
      <c r="A26" s="1"/>
      <c r="B26" s="1"/>
      <c r="G26" s="15" t="s">
        <v>52</v>
      </c>
      <c r="H26" s="16">
        <f>SUM(H16:H25)</f>
        <v>169</v>
      </c>
      <c r="I26" s="24">
        <f>SUM(I16:I25)</f>
        <v>30340</v>
      </c>
      <c r="J26" s="27">
        <f>SUM(J16:J25)</f>
        <v>25789</v>
      </c>
      <c r="K26" s="1"/>
      <c r="L26" s="1"/>
      <c r="M26" s="1"/>
      <c r="N26" s="1"/>
      <c r="O26" s="1"/>
      <c r="P26" s="1"/>
      <c r="Q26" s="1"/>
    </row>
    <row r="27" spans="1:17" ht="15.6" x14ac:dyDescent="0.3">
      <c r="A27" s="1"/>
      <c r="B27" s="1"/>
      <c r="I27" s="8"/>
      <c r="J27" s="1"/>
      <c r="K27" s="1"/>
      <c r="L27" s="1"/>
      <c r="M27" s="1"/>
      <c r="N27" s="1"/>
      <c r="O27" s="1"/>
      <c r="P27" s="1"/>
      <c r="Q27" s="1"/>
    </row>
    <row r="28" spans="1:17" ht="15.6" x14ac:dyDescent="0.3">
      <c r="A28" s="1"/>
      <c r="B28" s="1"/>
      <c r="C28" s="1" t="s">
        <v>49</v>
      </c>
      <c r="D28" s="1" t="s">
        <v>50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6" x14ac:dyDescent="0.3">
      <c r="A29" s="1"/>
      <c r="B29" s="1"/>
      <c r="C29" s="1"/>
      <c r="D29" s="9" t="s">
        <v>51</v>
      </c>
      <c r="E29" s="1"/>
      <c r="F29" s="1"/>
      <c r="G29" s="1"/>
      <c r="H29" s="1"/>
      <c r="I29" s="1"/>
      <c r="J29" s="25"/>
      <c r="K29" s="1"/>
      <c r="L29" s="1"/>
      <c r="M29" s="1"/>
      <c r="N29" s="1"/>
      <c r="O29" s="1"/>
      <c r="P29" s="1"/>
      <c r="Q29" s="1"/>
    </row>
    <row r="30" spans="1:17" ht="15.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6" x14ac:dyDescent="0.3">
      <c r="A32" s="1"/>
      <c r="B32" s="1"/>
      <c r="C32" s="1"/>
      <c r="D32" s="36" t="s">
        <v>54</v>
      </c>
      <c r="E32" s="36"/>
      <c r="F32" s="36"/>
      <c r="G32" s="36"/>
      <c r="H32" s="36"/>
      <c r="I32" s="36"/>
      <c r="J32" s="1"/>
      <c r="K32" s="1"/>
      <c r="L32" s="1"/>
      <c r="M32" s="1"/>
      <c r="N32" s="1"/>
      <c r="O32" s="1"/>
      <c r="P32" s="1"/>
      <c r="Q32" s="1"/>
    </row>
    <row r="33" spans="1:17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.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.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.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.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.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.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.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.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.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.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.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.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.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.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.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.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.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.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.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.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.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.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.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.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.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.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.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.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.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.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.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.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.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.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.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.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.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.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.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.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.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.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.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.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.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.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.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.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.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.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.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.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.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.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.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.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.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.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.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.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.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.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.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.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.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.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.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.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.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.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.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.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.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.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.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.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.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.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.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.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.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.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.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.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.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.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.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.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.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.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.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.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.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.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.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.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.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.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.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.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.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.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.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.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.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.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.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.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5.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5.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5.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5.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5.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</sheetData>
  <mergeCells count="3">
    <mergeCell ref="C16:C25"/>
    <mergeCell ref="E2:F2"/>
    <mergeCell ref="D32:I32"/>
  </mergeCells>
  <hyperlinks>
    <hyperlink ref="D6" r:id="rId1" display="mailto:maggie@viewpointads.com" xr:uid="{A2C85791-2156-4793-B14D-9AADF0254389}"/>
  </hyperlinks>
  <pageMargins left="0.7" right="0.7" top="0.75" bottom="0.75" header="0" footer="0"/>
  <pageSetup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"/>
  <sheetViews>
    <sheetView workbookViewId="0"/>
  </sheetViews>
  <sheetFormatPr defaultColWidth="12.6640625" defaultRowHeight="15" customHeight="1" x14ac:dyDescent="0.25"/>
  <cols>
    <col min="1" max="1" width="16.77734375" customWidth="1"/>
    <col min="2" max="2" width="23.88671875" customWidth="1"/>
    <col min="3" max="3" width="23.21875" customWidth="1"/>
  </cols>
  <sheetData>
    <row r="1" spans="1:3" ht="15" customHeight="1" x14ac:dyDescent="0.25">
      <c r="A1" s="5" t="s">
        <v>19</v>
      </c>
      <c r="B1" s="5" t="s">
        <v>20</v>
      </c>
      <c r="C1" s="5" t="s">
        <v>21</v>
      </c>
    </row>
    <row r="2" spans="1:3" ht="15" customHeight="1" x14ac:dyDescent="0.25">
      <c r="A2" s="6" t="s">
        <v>22</v>
      </c>
      <c r="B2" s="6" t="s">
        <v>23</v>
      </c>
      <c r="C2" s="7" t="s">
        <v>4</v>
      </c>
    </row>
    <row r="3" spans="1:3" ht="15" customHeight="1" x14ac:dyDescent="0.25">
      <c r="A3" s="6" t="s">
        <v>22</v>
      </c>
      <c r="B3" s="6" t="s">
        <v>24</v>
      </c>
      <c r="C3" s="7" t="s">
        <v>25</v>
      </c>
    </row>
    <row r="4" spans="1:3" ht="15" customHeight="1" x14ac:dyDescent="0.25">
      <c r="A4" s="6" t="s">
        <v>22</v>
      </c>
      <c r="B4" s="6" t="s">
        <v>26</v>
      </c>
      <c r="C4" s="7" t="s">
        <v>5</v>
      </c>
    </row>
    <row r="5" spans="1:3" ht="15" customHeight="1" x14ac:dyDescent="0.25">
      <c r="A5" s="6" t="s">
        <v>22</v>
      </c>
      <c r="B5" s="6" t="s">
        <v>27</v>
      </c>
      <c r="C5" s="7" t="s">
        <v>5</v>
      </c>
    </row>
    <row r="6" spans="1:3" ht="15" customHeight="1" x14ac:dyDescent="0.25">
      <c r="A6" s="6" t="s">
        <v>22</v>
      </c>
      <c r="B6" s="6" t="s">
        <v>28</v>
      </c>
      <c r="C6" s="7" t="s">
        <v>5</v>
      </c>
    </row>
    <row r="7" spans="1:3" ht="15" customHeight="1" x14ac:dyDescent="0.25">
      <c r="A7" s="6" t="s">
        <v>22</v>
      </c>
      <c r="B7" s="6" t="s">
        <v>29</v>
      </c>
      <c r="C7" s="7" t="s">
        <v>30</v>
      </c>
    </row>
    <row r="8" spans="1:3" ht="15" customHeight="1" x14ac:dyDescent="0.25">
      <c r="A8" s="6" t="s">
        <v>31</v>
      </c>
      <c r="B8" s="6" t="s">
        <v>32</v>
      </c>
      <c r="C8" s="7" t="s">
        <v>33</v>
      </c>
    </row>
    <row r="9" spans="1:3" ht="15" customHeight="1" x14ac:dyDescent="0.25">
      <c r="A9" s="6" t="s">
        <v>31</v>
      </c>
      <c r="B9" s="6" t="s">
        <v>34</v>
      </c>
      <c r="C9" s="7" t="s">
        <v>33</v>
      </c>
    </row>
    <row r="10" spans="1:3" ht="15" customHeight="1" x14ac:dyDescent="0.25">
      <c r="A10" s="6" t="s">
        <v>31</v>
      </c>
      <c r="B10" s="6" t="s">
        <v>35</v>
      </c>
      <c r="C10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Crossings TV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Lejbowicz</dc:creator>
  <cp:lastModifiedBy>Charmaine Lane</cp:lastModifiedBy>
  <cp:lastPrinted>2026-04-15T21:34:36Z</cp:lastPrinted>
  <dcterms:created xsi:type="dcterms:W3CDTF">1998-01-27T14:56:36Z</dcterms:created>
  <dcterms:modified xsi:type="dcterms:W3CDTF">2026-10-20T17:02:38Z</dcterms:modified>
</cp:coreProperties>
</file>