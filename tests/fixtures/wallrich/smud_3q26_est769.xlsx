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tophervargas/Downloads/"/>
    </mc:Choice>
  </mc:AlternateContent>
  <xr:revisionPtr revIDLastSave="0" documentId="8_{A78A1891-BCC4-6941-BC1A-2314EBD36B15}" xr6:coauthVersionLast="47" xr6:coauthVersionMax="47" xr10:uidLastSave="{00000000-0000-0000-0000-000000000000}"/>
  <bookViews>
    <workbookView xWindow="11580" yWindow="5480" windowWidth="28040" windowHeight="17180" xr2:uid="{AC956B92-2636-7441-AD6F-B2D6BCEBDB00}"/>
  </bookViews>
  <sheets>
    <sheet name="Crossings TV Schedule" sheetId="2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5" i="2" l="1"/>
  <c r="A24" i="2"/>
  <c r="A23" i="2"/>
  <c r="A22" i="2"/>
  <c r="A21" i="2"/>
  <c r="A20" i="2"/>
</calcChain>
</file>

<file path=xl/sharedStrings.xml><?xml version="1.0" encoding="utf-8"?>
<sst xmlns="http://schemas.openxmlformats.org/spreadsheetml/2006/main" count="119" uniqueCount="94">
  <si>
    <t>Client:</t>
  </si>
  <si>
    <t>SD15</t>
  </si>
  <si>
    <t>Product:</t>
  </si>
  <si>
    <t>Clean Energy Vision 2030</t>
  </si>
  <si>
    <t>Estimate:</t>
  </si>
  <si>
    <t>769-T26_SMUD 3Q26 POM SD15 TV_...</t>
  </si>
  <si>
    <t>Primary Demo:</t>
  </si>
  <si>
    <t>Adults 25-54</t>
  </si>
  <si>
    <t>Flight Start:</t>
  </si>
  <si>
    <t>Flight End:</t>
  </si>
  <si>
    <t>Station:</t>
  </si>
  <si>
    <t>KBTV (CROSSINGS)-TV-Cash</t>
  </si>
  <si>
    <t>FBD:</t>
  </si>
  <si>
    <t>Market:</t>
  </si>
  <si>
    <t>Sacramento</t>
  </si>
  <si>
    <t>LBD:</t>
  </si>
  <si>
    <t>RepCo-AE:</t>
  </si>
  <si>
    <t>KBTV (CROSSINGS)-TV - N.A.</t>
  </si>
  <si>
    <t>Total Dollars:</t>
  </si>
  <si>
    <t>Survey:</t>
  </si>
  <si>
    <t>Sep26 Proj. (Sep25 HUT, Jun26 SHR) DMA/Nielsen</t>
  </si>
  <si>
    <t>State:</t>
  </si>
  <si>
    <t>New</t>
  </si>
  <si>
    <t>Status:</t>
  </si>
  <si>
    <t>Unsent</t>
  </si>
  <si>
    <t>Total Spots:</t>
  </si>
  <si>
    <t>Separation:</t>
  </si>
  <si>
    <t>Cash Spots:</t>
  </si>
  <si>
    <t>GRP:</t>
  </si>
  <si>
    <t>Trade Spots:</t>
  </si>
  <si>
    <t>CPP:</t>
  </si>
  <si>
    <t>NA</t>
  </si>
  <si>
    <t>Version:</t>
  </si>
  <si>
    <t>1 | -</t>
  </si>
  <si>
    <t>GIMP(000):</t>
  </si>
  <si>
    <t>CPM:</t>
  </si>
  <si>
    <t>Comments:</t>
  </si>
  <si>
    <t>Seller Com.:</t>
  </si>
  <si>
    <t>Ln</t>
  </si>
  <si>
    <t>Days</t>
  </si>
  <si>
    <t>Time</t>
  </si>
  <si>
    <t>Program</t>
  </si>
  <si>
    <t>Len</t>
  </si>
  <si>
    <t>Dpt</t>
  </si>
  <si>
    <t>Rate</t>
  </si>
  <si>
    <t>C/T</t>
  </si>
  <si>
    <t>Spots</t>
  </si>
  <si>
    <t>GRP</t>
  </si>
  <si>
    <t>GIMP(000)</t>
  </si>
  <si>
    <t>GIMP</t>
  </si>
  <si>
    <t>Rtg</t>
  </si>
  <si>
    <t>Imp</t>
  </si>
  <si>
    <t>CPP</t>
  </si>
  <si>
    <t>CPM</t>
  </si>
  <si>
    <t>Note</t>
  </si>
  <si>
    <t>[8/24]</t>
  </si>
  <si>
    <t>[8/31]</t>
  </si>
  <si>
    <t>[9/7]</t>
  </si>
  <si>
    <t>[9/14]</t>
  </si>
  <si>
    <t>[9/21]</t>
  </si>
  <si>
    <t>[9/28]</t>
  </si>
  <si>
    <t>[10/5]</t>
  </si>
  <si>
    <t>[10/12]</t>
  </si>
  <si>
    <t>[10/19]</t>
  </si>
  <si>
    <t>[10/26]</t>
  </si>
  <si>
    <t>[11/2]</t>
  </si>
  <si>
    <t>[11/9]</t>
  </si>
  <si>
    <t>[11/16]</t>
  </si>
  <si>
    <t>MTuWThF</t>
  </si>
  <si>
    <t>07:00p-08:00p</t>
  </si>
  <si>
    <t>Cantonese</t>
  </si>
  <si>
    <t>RT</t>
  </si>
  <si>
    <t>c</t>
  </si>
  <si>
    <t>08:00p-11:00p</t>
  </si>
  <si>
    <t>Mandarin</t>
  </si>
  <si>
    <t>04:00p-07:00p</t>
  </si>
  <si>
    <t>Tagalog</t>
  </si>
  <si>
    <t>08:00a-10:00a</t>
  </si>
  <si>
    <t>Korean</t>
  </si>
  <si>
    <t>SaSu</t>
  </si>
  <si>
    <t>06:00p-08:00p</t>
  </si>
  <si>
    <t>Hmong</t>
  </si>
  <si>
    <t>11:00a-12:30p</t>
  </si>
  <si>
    <t>Vietnamese</t>
  </si>
  <si>
    <t>Month</t>
  </si>
  <si>
    <t>Cash$ - Spots</t>
  </si>
  <si>
    <t>Trade$ - Spots</t>
  </si>
  <si>
    <t>Total$ - Spots</t>
  </si>
  <si>
    <t>$4,500.00 - 90</t>
  </si>
  <si>
    <t>$0.00 - 0</t>
  </si>
  <si>
    <t>$3,000.00 - 60</t>
  </si>
  <si>
    <t>$1,500.00 - 30</t>
  </si>
  <si>
    <t>Totals</t>
  </si>
  <si>
    <t>$13,500.00 - 270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</si>
</sst>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3D3D3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9" fillId="0" borderId="0" xfId="0" applyFont="1" applyAlignment="1">
      <alignment horizontal="left" vertical="center" wrapText="1"/>
    </xf>
    <xf numFmtId="0" fontId="18" fillId="0" borderId="0" xfId="0" applyFont="1" applyAlignment="1">
      <alignment horizontal="left" wrapText="1"/>
    </xf>
    <xf numFmtId="8" fontId="18" fillId="0" borderId="0" xfId="0" applyNumberFormat="1" applyFont="1" applyAlignment="1">
      <alignment horizontal="left" wrapText="1"/>
    </xf>
    <xf numFmtId="14" fontId="18" fillId="0" borderId="0" xfId="0" applyNumberFormat="1" applyFont="1" applyAlignment="1">
      <alignment horizontal="left" wrapText="1"/>
    </xf>
    <xf numFmtId="0" fontId="18" fillId="0" borderId="0" xfId="0" applyFont="1" applyAlignment="1">
      <alignment horizontal="left" wrapText="1"/>
    </xf>
    <xf numFmtId="0" fontId="19" fillId="33" borderId="0" xfId="0" applyFont="1" applyFill="1" applyAlignment="1">
      <alignment horizontal="left" vertical="center"/>
    </xf>
    <xf numFmtId="0" fontId="18" fillId="34" borderId="0" xfId="0" applyFont="1" applyFill="1" applyAlignment="1">
      <alignment horizontal="left"/>
    </xf>
    <xf numFmtId="8" fontId="18" fillId="34" borderId="0" xfId="0" applyNumberFormat="1" applyFont="1" applyFill="1" applyAlignment="1">
      <alignment horizontal="left"/>
    </xf>
    <xf numFmtId="0" fontId="18" fillId="34" borderId="0" xfId="0" applyFont="1" applyFill="1" applyAlignment="1">
      <alignment horizontal="center"/>
    </xf>
    <xf numFmtId="17" fontId="18" fillId="0" borderId="0" xfId="0" applyNumberFormat="1" applyFont="1" applyAlignment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C795D-279F-C340-98A5-7612F0A21A12}">
  <dimension ref="A1:AD32"/>
  <sheetViews>
    <sheetView showGridLines="0" tabSelected="1" workbookViewId="0">
      <selection activeCell="A9" sqref="A9"/>
    </sheetView>
  </sheetViews>
  <sheetFormatPr baseColWidth="10" defaultRowHeight="16" x14ac:dyDescent="0.2"/>
  <cols>
    <col min="1" max="1" width="8.33203125" bestFit="1" customWidth="1"/>
    <col min="2" max="2" width="31" bestFit="1" customWidth="1"/>
    <col min="3" max="3" width="10.1640625" bestFit="1" customWidth="1"/>
    <col min="4" max="4" width="10" bestFit="1" customWidth="1"/>
    <col min="5" max="6" width="3.1640625" bestFit="1" customWidth="1"/>
    <col min="7" max="7" width="5" bestFit="1" customWidth="1"/>
    <col min="8" max="8" width="3" bestFit="1" customWidth="1"/>
    <col min="9" max="9" width="4.5" bestFit="1" customWidth="1"/>
    <col min="10" max="10" width="3.6640625" bestFit="1" customWidth="1"/>
    <col min="11" max="11" width="7.1640625" bestFit="1" customWidth="1"/>
    <col min="12" max="12" width="4.1640625" bestFit="1" customWidth="1"/>
    <col min="13" max="14" width="3.1640625" bestFit="1" customWidth="1"/>
    <col min="15" max="16" width="4.33203125" bestFit="1" customWidth="1"/>
    <col min="17" max="17" width="3.83203125" bestFit="1" customWidth="1"/>
    <col min="18" max="19" width="4.1640625" bestFit="1" customWidth="1"/>
    <col min="20" max="20" width="3.5" bestFit="1" customWidth="1"/>
    <col min="21" max="24" width="4.1640625" bestFit="1" customWidth="1"/>
    <col min="25" max="27" width="4.83203125" bestFit="1" customWidth="1"/>
    <col min="28" max="29" width="4.1640625" bestFit="1" customWidth="1"/>
    <col min="30" max="30" width="4.83203125" bestFit="1" customWidth="1"/>
  </cols>
  <sheetData>
    <row r="1" spans="1:4" ht="16" customHeight="1" x14ac:dyDescent="0.2">
      <c r="A1" s="1" t="s">
        <v>0</v>
      </c>
      <c r="B1" s="2" t="s">
        <v>1</v>
      </c>
      <c r="C1" s="1"/>
      <c r="D1" s="3"/>
    </row>
    <row r="2" spans="1:4" ht="16" customHeight="1" x14ac:dyDescent="0.2">
      <c r="A2" s="1" t="s">
        <v>2</v>
      </c>
      <c r="B2" s="2" t="s">
        <v>3</v>
      </c>
      <c r="C2" s="1"/>
      <c r="D2" s="2"/>
    </row>
    <row r="3" spans="1:4" ht="16" customHeight="1" x14ac:dyDescent="0.2">
      <c r="A3" s="1" t="s">
        <v>4</v>
      </c>
      <c r="B3" s="2" t="s">
        <v>5</v>
      </c>
      <c r="C3" s="1" t="s">
        <v>6</v>
      </c>
      <c r="D3" s="2" t="s">
        <v>7</v>
      </c>
    </row>
    <row r="4" spans="1:4" ht="16" customHeight="1" x14ac:dyDescent="0.2">
      <c r="A4" s="1" t="s">
        <v>8</v>
      </c>
      <c r="B4" s="4">
        <v>46258</v>
      </c>
      <c r="C4" s="1" t="s">
        <v>9</v>
      </c>
      <c r="D4" s="4">
        <v>46348</v>
      </c>
    </row>
    <row r="5" spans="1:4" x14ac:dyDescent="0.2">
      <c r="A5" s="1" t="s">
        <v>10</v>
      </c>
      <c r="B5" s="2" t="s">
        <v>11</v>
      </c>
      <c r="C5" s="1" t="s">
        <v>12</v>
      </c>
      <c r="D5" s="4">
        <v>46265</v>
      </c>
    </row>
    <row r="6" spans="1:4" x14ac:dyDescent="0.2">
      <c r="A6" s="1" t="s">
        <v>13</v>
      </c>
      <c r="B6" s="2" t="s">
        <v>14</v>
      </c>
      <c r="C6" s="1" t="s">
        <v>15</v>
      </c>
      <c r="D6" s="4">
        <v>46348</v>
      </c>
    </row>
    <row r="7" spans="1:4" x14ac:dyDescent="0.2">
      <c r="A7" s="1" t="s">
        <v>16</v>
      </c>
      <c r="B7" s="2" t="s">
        <v>17</v>
      </c>
      <c r="C7" s="1" t="s">
        <v>18</v>
      </c>
      <c r="D7" s="3">
        <v>13500</v>
      </c>
    </row>
    <row r="8" spans="1:4" x14ac:dyDescent="0.2">
      <c r="A8" s="1" t="s">
        <v>19</v>
      </c>
      <c r="B8" s="2" t="s">
        <v>20</v>
      </c>
      <c r="C8" s="1"/>
      <c r="D8" s="3"/>
    </row>
    <row r="9" spans="1:4" x14ac:dyDescent="0.2">
      <c r="A9" s="1" t="s">
        <v>21</v>
      </c>
      <c r="B9" s="2" t="s">
        <v>22</v>
      </c>
      <c r="C9" s="1"/>
      <c r="D9" s="3"/>
    </row>
    <row r="10" spans="1:4" x14ac:dyDescent="0.2">
      <c r="A10" s="1" t="s">
        <v>23</v>
      </c>
      <c r="B10" s="2" t="s">
        <v>24</v>
      </c>
      <c r="C10" s="1" t="s">
        <v>25</v>
      </c>
      <c r="D10" s="2">
        <v>270</v>
      </c>
    </row>
    <row r="11" spans="1:4" x14ac:dyDescent="0.2">
      <c r="A11" s="1" t="s">
        <v>26</v>
      </c>
      <c r="B11" s="2">
        <v>30</v>
      </c>
      <c r="C11" s="1" t="s">
        <v>27</v>
      </c>
      <c r="D11" s="2">
        <v>270</v>
      </c>
    </row>
    <row r="12" spans="1:4" x14ac:dyDescent="0.2">
      <c r="A12" s="1" t="s">
        <v>28</v>
      </c>
      <c r="B12" s="2">
        <v>0</v>
      </c>
      <c r="C12" s="1" t="s">
        <v>29</v>
      </c>
      <c r="D12" s="2">
        <v>0</v>
      </c>
    </row>
    <row r="13" spans="1:4" x14ac:dyDescent="0.2">
      <c r="A13" s="1" t="s">
        <v>30</v>
      </c>
      <c r="B13" s="2" t="s">
        <v>31</v>
      </c>
      <c r="C13" s="1" t="s">
        <v>32</v>
      </c>
      <c r="D13" s="2" t="s">
        <v>33</v>
      </c>
    </row>
    <row r="14" spans="1:4" x14ac:dyDescent="0.2">
      <c r="A14" s="1" t="s">
        <v>34</v>
      </c>
      <c r="B14" s="2">
        <v>0</v>
      </c>
    </row>
    <row r="15" spans="1:4" x14ac:dyDescent="0.2">
      <c r="A15" s="1" t="s">
        <v>35</v>
      </c>
      <c r="B15" s="2" t="s">
        <v>31</v>
      </c>
    </row>
    <row r="16" spans="1:4" x14ac:dyDescent="0.2">
      <c r="A16" s="1" t="s">
        <v>36</v>
      </c>
      <c r="B16" s="5"/>
      <c r="C16" s="5"/>
      <c r="D16" s="5"/>
    </row>
    <row r="17" spans="1:30" x14ac:dyDescent="0.2">
      <c r="A17" s="1" t="s">
        <v>37</v>
      </c>
      <c r="B17" s="5"/>
      <c r="C17" s="5"/>
      <c r="D17" s="5"/>
    </row>
    <row r="19" spans="1:30" x14ac:dyDescent="0.2">
      <c r="A19" s="6" t="s">
        <v>38</v>
      </c>
      <c r="B19" s="6" t="s">
        <v>39</v>
      </c>
      <c r="C19" s="6" t="s">
        <v>40</v>
      </c>
      <c r="D19" s="6" t="s">
        <v>41</v>
      </c>
      <c r="E19" s="6" t="s">
        <v>42</v>
      </c>
      <c r="F19" s="6" t="s">
        <v>43</v>
      </c>
      <c r="G19" s="6" t="s">
        <v>44</v>
      </c>
      <c r="H19" s="6" t="s">
        <v>45</v>
      </c>
      <c r="I19" s="6" t="s">
        <v>46</v>
      </c>
      <c r="J19" s="6" t="s">
        <v>47</v>
      </c>
      <c r="K19" s="6" t="s">
        <v>48</v>
      </c>
      <c r="L19" s="6" t="s">
        <v>49</v>
      </c>
      <c r="M19" s="6" t="s">
        <v>50</v>
      </c>
      <c r="N19" s="6" t="s">
        <v>51</v>
      </c>
      <c r="O19" s="6" t="s">
        <v>52</v>
      </c>
      <c r="P19" s="6" t="s">
        <v>53</v>
      </c>
      <c r="Q19" s="6" t="s">
        <v>54</v>
      </c>
      <c r="R19" s="6" t="s">
        <v>55</v>
      </c>
      <c r="S19" s="6" t="s">
        <v>56</v>
      </c>
      <c r="T19" s="6" t="s">
        <v>57</v>
      </c>
      <c r="U19" s="6" t="s">
        <v>58</v>
      </c>
      <c r="V19" s="6" t="s">
        <v>59</v>
      </c>
      <c r="W19" s="6" t="s">
        <v>60</v>
      </c>
      <c r="X19" s="6" t="s">
        <v>61</v>
      </c>
      <c r="Y19" s="6" t="s">
        <v>62</v>
      </c>
      <c r="Z19" s="6" t="s">
        <v>63</v>
      </c>
      <c r="AA19" s="6" t="s">
        <v>64</v>
      </c>
      <c r="AB19" s="6" t="s">
        <v>65</v>
      </c>
      <c r="AC19" s="6" t="s">
        <v>66</v>
      </c>
      <c r="AD19" s="6" t="s">
        <v>67</v>
      </c>
    </row>
    <row r="20" spans="1:30" ht="19" customHeight="1" x14ac:dyDescent="0.2">
      <c r="A20" s="7" t="str">
        <f>FIXED(1, 0, TRUE)</f>
        <v>1</v>
      </c>
      <c r="B20" s="7" t="s">
        <v>68</v>
      </c>
      <c r="C20" s="7" t="s">
        <v>69</v>
      </c>
      <c r="D20" s="7" t="s">
        <v>70</v>
      </c>
      <c r="E20" s="7">
        <v>30</v>
      </c>
      <c r="F20" s="7" t="s">
        <v>71</v>
      </c>
      <c r="G20" s="8">
        <v>50</v>
      </c>
      <c r="H20" s="7" t="s">
        <v>72</v>
      </c>
      <c r="I20" s="7">
        <v>27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8">
        <v>0</v>
      </c>
      <c r="P20" s="8">
        <v>0</v>
      </c>
      <c r="Q20" s="7"/>
      <c r="R20" s="9">
        <v>0</v>
      </c>
      <c r="S20" s="9">
        <v>3</v>
      </c>
      <c r="T20" s="9">
        <v>3</v>
      </c>
      <c r="U20" s="9">
        <v>3</v>
      </c>
      <c r="V20" s="9">
        <v>0</v>
      </c>
      <c r="W20" s="9">
        <v>3</v>
      </c>
      <c r="X20" s="9">
        <v>3</v>
      </c>
      <c r="Y20" s="9">
        <v>3</v>
      </c>
      <c r="Z20" s="9">
        <v>3</v>
      </c>
      <c r="AA20" s="9">
        <v>0</v>
      </c>
      <c r="AB20" s="9">
        <v>0</v>
      </c>
      <c r="AC20" s="9">
        <v>3</v>
      </c>
      <c r="AD20" s="9">
        <v>3</v>
      </c>
    </row>
    <row r="21" spans="1:30" ht="19" customHeight="1" x14ac:dyDescent="0.2">
      <c r="A21" s="7" t="str">
        <f>FIXED(2, 0, TRUE)</f>
        <v>2</v>
      </c>
      <c r="B21" s="7" t="s">
        <v>68</v>
      </c>
      <c r="C21" s="7" t="s">
        <v>73</v>
      </c>
      <c r="D21" s="7" t="s">
        <v>74</v>
      </c>
      <c r="E21" s="7">
        <v>30</v>
      </c>
      <c r="F21" s="7" t="s">
        <v>71</v>
      </c>
      <c r="G21" s="8">
        <v>50</v>
      </c>
      <c r="H21" s="7" t="s">
        <v>72</v>
      </c>
      <c r="I21" s="7">
        <v>63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8">
        <v>0</v>
      </c>
      <c r="P21" s="8">
        <v>0</v>
      </c>
      <c r="Q21" s="7"/>
      <c r="R21" s="9">
        <v>0</v>
      </c>
      <c r="S21" s="9">
        <v>7</v>
      </c>
      <c r="T21" s="9">
        <v>7</v>
      </c>
      <c r="U21" s="9">
        <v>7</v>
      </c>
      <c r="V21" s="9">
        <v>0</v>
      </c>
      <c r="W21" s="9">
        <v>7</v>
      </c>
      <c r="X21" s="9">
        <v>7</v>
      </c>
      <c r="Y21" s="9">
        <v>7</v>
      </c>
      <c r="Z21" s="9">
        <v>7</v>
      </c>
      <c r="AA21" s="9">
        <v>0</v>
      </c>
      <c r="AB21" s="9">
        <v>0</v>
      </c>
      <c r="AC21" s="9">
        <v>7</v>
      </c>
      <c r="AD21" s="9">
        <v>7</v>
      </c>
    </row>
    <row r="22" spans="1:30" ht="19" customHeight="1" x14ac:dyDescent="0.2">
      <c r="A22" s="7" t="str">
        <f>FIXED(3, 0, TRUE)</f>
        <v>3</v>
      </c>
      <c r="B22" s="7" t="s">
        <v>68</v>
      </c>
      <c r="C22" s="7" t="s">
        <v>75</v>
      </c>
      <c r="D22" s="7" t="s">
        <v>76</v>
      </c>
      <c r="E22" s="7">
        <v>30</v>
      </c>
      <c r="F22" s="7" t="s">
        <v>71</v>
      </c>
      <c r="G22" s="8">
        <v>50</v>
      </c>
      <c r="H22" s="7" t="s">
        <v>72</v>
      </c>
      <c r="I22" s="7">
        <v>63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8">
        <v>0</v>
      </c>
      <c r="P22" s="8">
        <v>0</v>
      </c>
      <c r="Q22" s="7"/>
      <c r="R22" s="9">
        <v>0</v>
      </c>
      <c r="S22" s="9">
        <v>7</v>
      </c>
      <c r="T22" s="9">
        <v>7</v>
      </c>
      <c r="U22" s="9">
        <v>7</v>
      </c>
      <c r="V22" s="9">
        <v>0</v>
      </c>
      <c r="W22" s="9">
        <v>7</v>
      </c>
      <c r="X22" s="9">
        <v>7</v>
      </c>
      <c r="Y22" s="9">
        <v>7</v>
      </c>
      <c r="Z22" s="9">
        <v>7</v>
      </c>
      <c r="AA22" s="9">
        <v>0</v>
      </c>
      <c r="AB22" s="9">
        <v>0</v>
      </c>
      <c r="AC22" s="9">
        <v>7</v>
      </c>
      <c r="AD22" s="9">
        <v>7</v>
      </c>
    </row>
    <row r="23" spans="1:30" ht="19" customHeight="1" x14ac:dyDescent="0.2">
      <c r="A23" s="7" t="str">
        <f>FIXED(4, 0, TRUE)</f>
        <v>4</v>
      </c>
      <c r="B23" s="7" t="s">
        <v>68</v>
      </c>
      <c r="C23" s="7" t="s">
        <v>77</v>
      </c>
      <c r="D23" s="7" t="s">
        <v>78</v>
      </c>
      <c r="E23" s="7">
        <v>30</v>
      </c>
      <c r="F23" s="7" t="s">
        <v>71</v>
      </c>
      <c r="G23" s="8">
        <v>50</v>
      </c>
      <c r="H23" s="7" t="s">
        <v>72</v>
      </c>
      <c r="I23" s="7">
        <v>45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8">
        <v>0</v>
      </c>
      <c r="P23" s="8">
        <v>0</v>
      </c>
      <c r="Q23" s="7"/>
      <c r="R23" s="9">
        <v>0</v>
      </c>
      <c r="S23" s="9">
        <v>5</v>
      </c>
      <c r="T23" s="9">
        <v>5</v>
      </c>
      <c r="U23" s="9">
        <v>5</v>
      </c>
      <c r="V23" s="9">
        <v>0</v>
      </c>
      <c r="W23" s="9">
        <v>5</v>
      </c>
      <c r="X23" s="9">
        <v>5</v>
      </c>
      <c r="Y23" s="9">
        <v>5</v>
      </c>
      <c r="Z23" s="9">
        <v>5</v>
      </c>
      <c r="AA23" s="9">
        <v>0</v>
      </c>
      <c r="AB23" s="9">
        <v>0</v>
      </c>
      <c r="AC23" s="9">
        <v>5</v>
      </c>
      <c r="AD23" s="9">
        <v>5</v>
      </c>
    </row>
    <row r="24" spans="1:30" ht="19" customHeight="1" x14ac:dyDescent="0.2">
      <c r="A24" s="7" t="str">
        <f>FIXED(5, 0, TRUE)</f>
        <v>5</v>
      </c>
      <c r="B24" s="7" t="s">
        <v>79</v>
      </c>
      <c r="C24" s="7" t="s">
        <v>80</v>
      </c>
      <c r="D24" s="7" t="s">
        <v>81</v>
      </c>
      <c r="E24" s="7">
        <v>30</v>
      </c>
      <c r="F24" s="7" t="s">
        <v>71</v>
      </c>
      <c r="G24" s="8">
        <v>50</v>
      </c>
      <c r="H24" s="7" t="s">
        <v>72</v>
      </c>
      <c r="I24" s="7">
        <v>36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8">
        <v>0</v>
      </c>
      <c r="P24" s="8">
        <v>0</v>
      </c>
      <c r="Q24" s="7"/>
      <c r="R24" s="9">
        <v>0</v>
      </c>
      <c r="S24" s="9">
        <v>4</v>
      </c>
      <c r="T24" s="9">
        <v>4</v>
      </c>
      <c r="U24" s="9">
        <v>4</v>
      </c>
      <c r="V24" s="9">
        <v>0</v>
      </c>
      <c r="W24" s="9">
        <v>4</v>
      </c>
      <c r="X24" s="9">
        <v>4</v>
      </c>
      <c r="Y24" s="9">
        <v>4</v>
      </c>
      <c r="Z24" s="9">
        <v>4</v>
      </c>
      <c r="AA24" s="9">
        <v>0</v>
      </c>
      <c r="AB24" s="9">
        <v>0</v>
      </c>
      <c r="AC24" s="9">
        <v>4</v>
      </c>
      <c r="AD24" s="9">
        <v>4</v>
      </c>
    </row>
    <row r="25" spans="1:30" ht="19" customHeight="1" x14ac:dyDescent="0.2">
      <c r="A25" s="7" t="str">
        <f>FIXED(6, 0, TRUE)</f>
        <v>6</v>
      </c>
      <c r="B25" s="7" t="s">
        <v>68</v>
      </c>
      <c r="C25" s="7" t="s">
        <v>82</v>
      </c>
      <c r="D25" s="7" t="s">
        <v>83</v>
      </c>
      <c r="E25" s="7">
        <v>30</v>
      </c>
      <c r="F25" s="7" t="s">
        <v>71</v>
      </c>
      <c r="G25" s="8">
        <v>50</v>
      </c>
      <c r="H25" s="7" t="s">
        <v>72</v>
      </c>
      <c r="I25" s="7">
        <v>36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8">
        <v>0</v>
      </c>
      <c r="P25" s="8">
        <v>0</v>
      </c>
      <c r="Q25" s="7"/>
      <c r="R25" s="9">
        <v>0</v>
      </c>
      <c r="S25" s="9">
        <v>4</v>
      </c>
      <c r="T25" s="9">
        <v>4</v>
      </c>
      <c r="U25" s="9">
        <v>4</v>
      </c>
      <c r="V25" s="9">
        <v>0</v>
      </c>
      <c r="W25" s="9">
        <v>4</v>
      </c>
      <c r="X25" s="9">
        <v>4</v>
      </c>
      <c r="Y25" s="9">
        <v>4</v>
      </c>
      <c r="Z25" s="9">
        <v>4</v>
      </c>
      <c r="AA25" s="9">
        <v>0</v>
      </c>
      <c r="AB25" s="9">
        <v>0</v>
      </c>
      <c r="AC25" s="9">
        <v>4</v>
      </c>
      <c r="AD25" s="9">
        <v>4</v>
      </c>
    </row>
    <row r="27" spans="1:30" x14ac:dyDescent="0.2">
      <c r="A27" s="1" t="s">
        <v>84</v>
      </c>
      <c r="B27" s="1" t="s">
        <v>85</v>
      </c>
      <c r="C27" s="1" t="s">
        <v>86</v>
      </c>
      <c r="D27" s="1" t="s">
        <v>87</v>
      </c>
    </row>
    <row r="28" spans="1:30" x14ac:dyDescent="0.2">
      <c r="A28" s="10">
        <v>46296</v>
      </c>
      <c r="B28" s="2" t="s">
        <v>88</v>
      </c>
      <c r="C28" s="2" t="s">
        <v>89</v>
      </c>
      <c r="D28" s="2" t="s">
        <v>88</v>
      </c>
    </row>
    <row r="29" spans="1:30" x14ac:dyDescent="0.2">
      <c r="A29" s="10">
        <v>46327</v>
      </c>
      <c r="B29" s="2" t="s">
        <v>90</v>
      </c>
      <c r="C29" s="2" t="s">
        <v>89</v>
      </c>
      <c r="D29" s="2" t="s">
        <v>90</v>
      </c>
    </row>
    <row r="30" spans="1:30" x14ac:dyDescent="0.2">
      <c r="A30" s="10">
        <v>46235</v>
      </c>
      <c r="B30" s="2" t="s">
        <v>91</v>
      </c>
      <c r="C30" s="2" t="s">
        <v>89</v>
      </c>
      <c r="D30" s="2" t="s">
        <v>91</v>
      </c>
    </row>
    <row r="31" spans="1:30" x14ac:dyDescent="0.2">
      <c r="A31" s="10">
        <v>46266</v>
      </c>
      <c r="B31" s="2" t="s">
        <v>88</v>
      </c>
      <c r="C31" s="2" t="s">
        <v>89</v>
      </c>
      <c r="D31" s="2" t="s">
        <v>88</v>
      </c>
    </row>
    <row r="32" spans="1:30" x14ac:dyDescent="0.2">
      <c r="A32" s="2" t="s">
        <v>92</v>
      </c>
      <c r="B32" s="2" t="s">
        <v>93</v>
      </c>
      <c r="C32" s="2" t="s">
        <v>89</v>
      </c>
      <c r="D32" s="2" t="s">
        <v>93</v>
      </c>
    </row>
  </sheetData>
  <mergeCells count="2">
    <mergeCell ref="B16:D16"/>
    <mergeCell ref="B17:D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Crossings TV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Eleven Order Detail Report</dc:title>
  <cp:lastModifiedBy>Chris Vargas</cp:lastModifiedBy>
  <dcterms:created xsi:type="dcterms:W3CDTF">2026-08-19T00:22:16Z</dcterms:created>
  <dcterms:modified xsi:type="dcterms:W3CDTF">2026-08-19T00:22:16Z</dcterms:modified>
</cp:coreProperties>
</file>