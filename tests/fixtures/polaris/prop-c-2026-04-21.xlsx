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rossingstv0-my.sharepoint.com/personal/charmaine_lane_crossingstv_com/Documents/"/>
    </mc:Choice>
  </mc:AlternateContent>
  <xr:revisionPtr revIDLastSave="0" documentId="8_{999223DC-7C19-4BFF-984F-F783FE3037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ssings TV" sheetId="3" r:id="rId1"/>
    <sheet name="Sheet1" sheetId="5" state="hidden" r:id="rId2"/>
  </sheets>
  <externalReferences>
    <externalReference r:id="rId3"/>
  </externalReferences>
  <definedNames>
    <definedName name="ACAListEBITDA">[1]Ranking!#REF!,[1]Ranking!#REF!</definedName>
    <definedName name="ACAListNS">[1]Ranking!#REF!,[1]Ranking!#REF!</definedName>
    <definedName name="CHListEBITDA">[1]Ranking!#REF!,[1]Ranking!#REF!,[1]Ranking!#REF!,[1]Ranking!#REF!,[1]Ranking!#REF!,[1]Ranking!#REF!,[1]Ranking!#REF!,[1]Ranking!#REF!,[1]Ranking!#REF!</definedName>
    <definedName name="CHListNS">[1]Ranking!#REF!,[1]Ranking!#REF!,[1]Ranking!#REF!,[1]Ranking!#REF!,[1]Ranking!#REF!,[1]Ranking!#REF!,[1]Ranking!#REF!,[1]Ranking!#REF!,[1]Ranking!#REF!</definedName>
    <definedName name="ETListEBITDA">[1]Ranking!#REF!,[1]Ranking!#REF!,[1]Ranking!#REF!,[1]Ranking!#REF!,[1]Ranking!#REF!,[1]Ranking!#REF!,[1]Ranking!#REF!,[1]Ranking!#REF!,[1]Ranking!#REF!</definedName>
    <definedName name="ETListNS">[1]Ranking!#REF!,[1]Ranking!#REF!,[1]Ranking!#REF!,[1]Ranking!#REF!,[1]Ranking!#REF!,[1]Ranking!#REF!,[1]Ranking!#REF!,[1]Ranking!#REF!,[1]Ranking!#REF!</definedName>
    <definedName name="MBZRusnak">[1]Ranking!#REF!,[1]Ranking!#REF!,[1]Ranking!#REF!,[1]Ranking!#REF!,[1]Ranking!#REF!,[1]Ranking!#REF!,[1]Ranking!#REF!,[1]Ranking!#REF!,[1]Ranking!#REF!</definedName>
    <definedName name="Medium_Key">#REF!</definedName>
    <definedName name="OwnerRates">#REF!</definedName>
    <definedName name="RusnakMBZ2023">[1]Ranking!#REF!,[1]Ranking!#REF!</definedName>
    <definedName name="RusnakMBZQ22023">[1]Ranking!#REF!,[1]Ranking!#REF!</definedName>
    <definedName name="SIGListEBITDA">[1]Ranking!#REF!</definedName>
    <definedName name="SIGListNS">[1]Ranking!#REF!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6bh8Uf4gjmk4bGbSfnGaLzJRgBYZ6uTcQlTn6JEvLk="/>
    </ext>
  </extLst>
</workbook>
</file>

<file path=xl/calcChain.xml><?xml version="1.0" encoding="utf-8"?>
<calcChain xmlns="http://schemas.openxmlformats.org/spreadsheetml/2006/main">
  <c r="H21" i="3" l="1"/>
  <c r="I20" i="3"/>
  <c r="I19" i="3"/>
  <c r="I18" i="3"/>
  <c r="I17" i="3"/>
  <c r="I16" i="3"/>
  <c r="I15" i="3"/>
  <c r="I14" i="3"/>
  <c r="I13" i="3"/>
  <c r="I12" i="3"/>
  <c r="I11" i="3"/>
  <c r="D8" i="3"/>
</calcChain>
</file>

<file path=xl/sharedStrings.xml><?xml version="1.0" encoding="utf-8"?>
<sst xmlns="http://schemas.openxmlformats.org/spreadsheetml/2006/main" count="84" uniqueCount="60">
  <si>
    <t>AGENCY</t>
  </si>
  <si>
    <t>Polaris</t>
  </si>
  <si>
    <t>Advertiser</t>
  </si>
  <si>
    <t>PREPARED BY:</t>
  </si>
  <si>
    <t>Flight Date:</t>
  </si>
  <si>
    <t>Unit</t>
  </si>
  <si>
    <t>CUM NET COST</t>
  </si>
  <si>
    <t>Cantonese</t>
  </si>
  <si>
    <t>Korean</t>
  </si>
  <si>
    <t>M-F</t>
  </si>
  <si>
    <t>6a-7a</t>
  </si>
  <si>
    <t>8p-9p</t>
  </si>
  <si>
    <t>Mandarin Drama</t>
  </si>
  <si>
    <t>9p-10p</t>
  </si>
  <si>
    <t>Mandarin Entertainment</t>
  </si>
  <si>
    <t>10p-11:30p</t>
  </si>
  <si>
    <t>9p-12a</t>
  </si>
  <si>
    <t>Cantonese News</t>
  </si>
  <si>
    <t>7p-7:30p</t>
  </si>
  <si>
    <t>Cantonese Talk</t>
  </si>
  <si>
    <t>7:30p-8p</t>
  </si>
  <si>
    <t>11:30p-12a</t>
  </si>
  <si>
    <t>DMA</t>
  </si>
  <si>
    <t>Station</t>
  </si>
  <si>
    <t>Programming</t>
  </si>
  <si>
    <t>Los Angeles</t>
  </si>
  <si>
    <t>KXLA CH 44.4</t>
  </si>
  <si>
    <t>KXLA CH 44.3</t>
  </si>
  <si>
    <t>Mandarin</t>
  </si>
  <si>
    <t>Spectrum Cable KBS</t>
  </si>
  <si>
    <t>KSCI CH 18.3</t>
  </si>
  <si>
    <t>TVK 24</t>
  </si>
  <si>
    <t>Crossings TV (Spectrum 1519)</t>
  </si>
  <si>
    <t>Mandarin, Cantonese, Korean</t>
  </si>
  <si>
    <t>San Francisco</t>
  </si>
  <si>
    <t>KTSF</t>
  </si>
  <si>
    <t>Mandarin, Cantonese</t>
  </si>
  <si>
    <t>KCNS CH 38.2</t>
  </si>
  <si>
    <t>Crossings TV (KQTA CH 15.3)</t>
  </si>
  <si>
    <t>Yes on Prop C / No on Prop D in SF</t>
  </si>
  <si>
    <t>CHARMAINE LANE</t>
  </si>
  <si>
    <t>TOTAL GROSS BUDGET:</t>
  </si>
  <si>
    <t>TOTAL NET BUDGET</t>
  </si>
  <si>
    <t xml:space="preserve">Time </t>
  </si>
  <si>
    <t xml:space="preserve">Programming </t>
  </si>
  <si>
    <t>Gross Rate per :30s</t>
  </si>
  <si>
    <t xml:space="preserve">Mandarin News </t>
  </si>
  <si>
    <t>Sat</t>
  </si>
  <si>
    <t xml:space="preserve">Sat- Sun </t>
  </si>
  <si>
    <t>Sat&amp; Sun</t>
  </si>
  <si>
    <t>GROSS</t>
  </si>
  <si>
    <t xml:space="preserve">CROSSINGS TV                          SAN FRANCISCO </t>
  </si>
  <si>
    <t>Media /MARKET</t>
  </si>
  <si>
    <t xml:space="preserve">Approved by </t>
  </si>
  <si>
    <t>____________________________________________</t>
  </si>
  <si>
    <t>Client Signature</t>
  </si>
  <si>
    <t xml:space="preserve">TOTAL </t>
  </si>
  <si>
    <t>DAYS</t>
  </si>
  <si>
    <t>Thank you and we appreciate your partnership.</t>
  </si>
  <si>
    <t>4/21 THROUGH 4/28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</si>
</sst>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rgb="FF000000"/>
      <name val="Aptos"/>
      <family val="2"/>
    </font>
    <font>
      <sz val="11"/>
      <color theme="1"/>
      <name val="Calibri"/>
      <family val="2"/>
    </font>
    <font>
      <b/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8" fontId="3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8" fillId="0" borderId="0" xfId="0" applyFont="1"/>
    <xf numFmtId="164" fontId="9" fillId="0" borderId="0" xfId="0" applyNumberFormat="1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44" fontId="4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0" fontId="9" fillId="0" borderId="2" xfId="0" applyFont="1" applyBorder="1"/>
    <xf numFmtId="6" fontId="9" fillId="0" borderId="2" xfId="0" applyNumberFormat="1" applyFont="1" applyBorder="1"/>
    <xf numFmtId="164" fontId="9" fillId="0" borderId="2" xfId="0" applyNumberFormat="1" applyFont="1" applyBorder="1"/>
    <xf numFmtId="0" fontId="10" fillId="0" borderId="2" xfId="0" applyFont="1" applyBorder="1" applyAlignment="1">
      <alignment horizontal="right"/>
    </xf>
    <xf numFmtId="0" fontId="10" fillId="0" borderId="2" xfId="0" applyFont="1" applyBorder="1"/>
    <xf numFmtId="44" fontId="10" fillId="0" borderId="2" xfId="1" applyFont="1" applyBorder="1"/>
    <xf numFmtId="0" fontId="9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129541</xdr:colOff>
      <xdr:row>0</xdr:row>
      <xdr:rowOff>0</xdr:rowOff>
    </xdr:from>
    <xdr:to>
      <xdr:col>1</xdr:col>
      <xdr:colOff>469771</xdr:colOff>
      <xdr:row>3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3CCA00-D04C-48E0-94CA-8A68A3D36D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b="15244"/>
        <a:stretch/>
      </xdr:blipFill>
      <xdr:spPr>
        <a:xfrm>
          <a:off x="129541" y="0"/>
          <a:ext cx="965070" cy="861060"/>
        </a:xfrm>
        <a:prstGeom prst="rect">
          <a:avLst/>
        </a:prstGeom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PP01\APP01\APP01\APP01\APP01\APP01\APP01\APP01\APP01\APP01\APP01\APP01\APP01\Users\johncayne\Desktop\JC%20Inc\Global\Clients\RMR\2017\Store%20List\All%20Brand%20Unit%20List%20With%20Ranking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nking"/>
      <sheetName val="Units"/>
      <sheetName val="Store Visits"/>
      <sheetName val="Creative Performance"/>
    </sheetNames>
    <sheetDataSet>
      <sheetData sheetId="0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00"/>
  <sheetViews>
    <sheetView tabSelected="1" workbookViewId="0">
      <selection activeCell="C6" sqref="C6:D6"/>
    </sheetView>
  </sheetViews>
  <sheetFormatPr defaultColWidth="12.6640625" defaultRowHeight="15" customHeight="1" x14ac:dyDescent="0.25"/>
  <cols>
    <col min="1" max="2" width="9.109375" customWidth="1"/>
    <col min="3" max="3" width="22" customWidth="1"/>
    <col min="4" max="4" width="38.5546875" customWidth="1"/>
    <col min="5" max="5" width="11.77734375" customWidth="1"/>
    <col min="6" max="6" width="20" customWidth="1"/>
    <col min="7" max="7" width="14.44140625" customWidth="1"/>
    <col min="8" max="8" width="11.77734375" customWidth="1"/>
    <col min="9" max="9" width="12.33203125" customWidth="1"/>
    <col min="10" max="10" width="9.109375" hidden="1" customWidth="1"/>
    <col min="11" max="17" width="9.1093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5.8" x14ac:dyDescent="0.5">
      <c r="A2" s="1"/>
      <c r="B2" s="2"/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25.8" x14ac:dyDescent="0.5">
      <c r="A3" s="1"/>
      <c r="B3" s="2"/>
      <c r="C3" s="3" t="s">
        <v>0</v>
      </c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25.8" x14ac:dyDescent="0.5">
      <c r="A4" s="1"/>
      <c r="B4" s="2"/>
      <c r="C4" s="3" t="s">
        <v>2</v>
      </c>
      <c r="D4" s="9" t="s">
        <v>39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.6" x14ac:dyDescent="0.3">
      <c r="A5" s="1"/>
      <c r="B5" s="1"/>
      <c r="C5" s="3" t="s">
        <v>3</v>
      </c>
      <c r="D5" s="3" t="s">
        <v>40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.6" x14ac:dyDescent="0.3">
      <c r="A6" s="1"/>
      <c r="B6" s="1"/>
      <c r="C6" s="27" t="s">
        <v>4</v>
      </c>
      <c r="D6" s="28" t="s">
        <v>59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customHeight="1" x14ac:dyDescent="0.3">
      <c r="A7" s="1"/>
      <c r="B7" s="1"/>
      <c r="C7" s="3" t="s">
        <v>41</v>
      </c>
      <c r="D7" s="4">
        <v>4100</v>
      </c>
      <c r="E7" s="1"/>
      <c r="F7" s="1"/>
      <c r="G7" s="1"/>
      <c r="H7" s="1"/>
      <c r="I7" s="12"/>
      <c r="J7" s="1"/>
      <c r="K7" s="1"/>
      <c r="L7" s="1"/>
      <c r="M7" s="1"/>
      <c r="N7" s="1"/>
      <c r="O7" s="1"/>
      <c r="P7" s="1"/>
      <c r="Q7" s="1"/>
    </row>
    <row r="8" spans="1:17" ht="15.75" customHeight="1" x14ac:dyDescent="0.3">
      <c r="A8" s="1"/>
      <c r="B8" s="1"/>
      <c r="C8" s="3" t="s">
        <v>42</v>
      </c>
      <c r="D8" s="4">
        <f>4100*0.85</f>
        <v>3485</v>
      </c>
      <c r="E8" s="1"/>
      <c r="F8" s="1"/>
      <c r="G8" s="1"/>
      <c r="H8" s="1"/>
      <c r="I8" s="12"/>
      <c r="J8" s="1"/>
      <c r="K8" s="1"/>
      <c r="L8" s="1"/>
      <c r="M8" s="1"/>
      <c r="N8" s="1"/>
      <c r="O8" s="1"/>
      <c r="P8" s="1"/>
      <c r="Q8" s="1"/>
    </row>
    <row r="9" spans="1:17" ht="15" customHeight="1" x14ac:dyDescent="0.3">
      <c r="A9" s="1"/>
      <c r="B9" s="1"/>
      <c r="C9" s="1"/>
      <c r="D9" s="5"/>
      <c r="E9" s="1"/>
      <c r="F9" s="1"/>
      <c r="G9" s="1"/>
      <c r="H9" s="1"/>
      <c r="I9" s="13"/>
      <c r="J9" s="1"/>
      <c r="K9" s="1"/>
      <c r="L9" s="1"/>
      <c r="M9" s="1"/>
      <c r="N9" s="1"/>
      <c r="O9" s="1"/>
      <c r="P9" s="1"/>
      <c r="Q9" s="1"/>
    </row>
    <row r="10" spans="1:17" ht="31.2" x14ac:dyDescent="0.3">
      <c r="A10" s="1"/>
      <c r="B10" s="1"/>
      <c r="C10" s="15" t="s">
        <v>52</v>
      </c>
      <c r="D10" s="15" t="s">
        <v>57</v>
      </c>
      <c r="E10" s="15" t="s">
        <v>43</v>
      </c>
      <c r="F10" s="15" t="s">
        <v>44</v>
      </c>
      <c r="G10" s="16" t="s">
        <v>45</v>
      </c>
      <c r="H10" s="15" t="s">
        <v>5</v>
      </c>
      <c r="I10" s="17" t="s">
        <v>50</v>
      </c>
      <c r="J10" s="14" t="s">
        <v>6</v>
      </c>
      <c r="K10" s="1"/>
      <c r="L10" s="1"/>
      <c r="M10" s="1"/>
      <c r="N10" s="1"/>
      <c r="O10" s="1"/>
      <c r="P10" s="1"/>
      <c r="Q10" s="1"/>
    </row>
    <row r="11" spans="1:17" ht="15.6" x14ac:dyDescent="0.3">
      <c r="A11" s="1"/>
      <c r="B11" s="1"/>
      <c r="C11" s="25" t="s">
        <v>51</v>
      </c>
      <c r="D11" s="24" t="s">
        <v>9</v>
      </c>
      <c r="E11" s="18" t="s">
        <v>10</v>
      </c>
      <c r="F11" s="18" t="s">
        <v>46</v>
      </c>
      <c r="G11" s="19">
        <v>100</v>
      </c>
      <c r="H11" s="18">
        <v>3</v>
      </c>
      <c r="I11" s="20">
        <f t="shared" ref="I11:I20" si="0">G11*H11</f>
        <v>300</v>
      </c>
      <c r="J11" s="1"/>
      <c r="K11" s="1"/>
      <c r="L11" s="1"/>
      <c r="M11" s="1"/>
      <c r="N11" s="1"/>
      <c r="O11" s="1"/>
      <c r="P11" s="1"/>
      <c r="Q11" s="1"/>
    </row>
    <row r="12" spans="1:17" ht="15.6" x14ac:dyDescent="0.3">
      <c r="A12" s="1"/>
      <c r="B12" s="1"/>
      <c r="C12" s="25"/>
      <c r="D12" s="24" t="s">
        <v>9</v>
      </c>
      <c r="E12" s="18" t="s">
        <v>18</v>
      </c>
      <c r="F12" s="18" t="s">
        <v>17</v>
      </c>
      <c r="G12" s="19">
        <v>180</v>
      </c>
      <c r="H12" s="18">
        <v>3</v>
      </c>
      <c r="I12" s="20">
        <f t="shared" si="0"/>
        <v>540</v>
      </c>
      <c r="J12" s="1"/>
      <c r="K12" s="1"/>
      <c r="L12" s="1"/>
      <c r="M12" s="1"/>
      <c r="N12" s="1"/>
      <c r="O12" s="1"/>
      <c r="P12" s="1"/>
      <c r="Q12" s="1"/>
    </row>
    <row r="13" spans="1:17" ht="15.6" x14ac:dyDescent="0.3">
      <c r="A13" s="1"/>
      <c r="B13" s="1"/>
      <c r="C13" s="25"/>
      <c r="D13" s="24" t="s">
        <v>9</v>
      </c>
      <c r="E13" s="18" t="s">
        <v>20</v>
      </c>
      <c r="F13" s="18" t="s">
        <v>19</v>
      </c>
      <c r="G13" s="19">
        <v>180</v>
      </c>
      <c r="H13" s="18">
        <v>3</v>
      </c>
      <c r="I13" s="20">
        <f t="shared" si="0"/>
        <v>540</v>
      </c>
      <c r="J13" s="1"/>
      <c r="K13" s="1"/>
      <c r="L13" s="1"/>
      <c r="M13" s="1"/>
      <c r="N13" s="1"/>
      <c r="O13" s="1"/>
      <c r="P13" s="1"/>
      <c r="Q13" s="1"/>
    </row>
    <row r="14" spans="1:17" ht="15.6" x14ac:dyDescent="0.3">
      <c r="A14" s="1"/>
      <c r="B14" s="1"/>
      <c r="C14" s="25"/>
      <c r="D14" s="24" t="s">
        <v>9</v>
      </c>
      <c r="E14" s="18" t="s">
        <v>11</v>
      </c>
      <c r="F14" s="18" t="s">
        <v>46</v>
      </c>
      <c r="G14" s="19">
        <v>180</v>
      </c>
      <c r="H14" s="18">
        <v>3</v>
      </c>
      <c r="I14" s="20">
        <f t="shared" si="0"/>
        <v>540</v>
      </c>
      <c r="J14" s="1"/>
      <c r="K14" s="1"/>
      <c r="L14" s="1"/>
      <c r="M14" s="1"/>
      <c r="N14" s="1"/>
      <c r="O14" s="1"/>
      <c r="P14" s="1"/>
      <c r="Q14" s="1"/>
    </row>
    <row r="15" spans="1:17" ht="15.6" x14ac:dyDescent="0.3">
      <c r="A15" s="1"/>
      <c r="B15" s="1"/>
      <c r="C15" s="25"/>
      <c r="D15" s="24" t="s">
        <v>9</v>
      </c>
      <c r="E15" s="18" t="s">
        <v>13</v>
      </c>
      <c r="F15" s="18" t="s">
        <v>12</v>
      </c>
      <c r="G15" s="19">
        <v>180</v>
      </c>
      <c r="H15" s="18">
        <v>3</v>
      </c>
      <c r="I15" s="20">
        <f t="shared" si="0"/>
        <v>540</v>
      </c>
      <c r="J15" s="1"/>
      <c r="K15" s="1"/>
      <c r="L15" s="1"/>
      <c r="M15" s="1"/>
      <c r="N15" s="1"/>
      <c r="O15" s="1"/>
      <c r="P15" s="1"/>
      <c r="Q15" s="1"/>
    </row>
    <row r="16" spans="1:17" ht="15.6" x14ac:dyDescent="0.3">
      <c r="A16" s="1"/>
      <c r="B16" s="1"/>
      <c r="C16" s="25"/>
      <c r="D16" s="24" t="s">
        <v>9</v>
      </c>
      <c r="E16" s="18" t="s">
        <v>15</v>
      </c>
      <c r="F16" s="18" t="s">
        <v>14</v>
      </c>
      <c r="G16" s="19">
        <v>180</v>
      </c>
      <c r="H16" s="18">
        <v>3</v>
      </c>
      <c r="I16" s="20">
        <f t="shared" si="0"/>
        <v>540</v>
      </c>
      <c r="J16" s="1"/>
      <c r="K16" s="1"/>
      <c r="L16" s="1"/>
      <c r="M16" s="1"/>
      <c r="N16" s="1"/>
      <c r="O16" s="1"/>
      <c r="P16" s="1"/>
      <c r="Q16" s="1"/>
    </row>
    <row r="17" spans="1:17" ht="15.6" x14ac:dyDescent="0.3">
      <c r="A17" s="1"/>
      <c r="B17" s="1"/>
      <c r="C17" s="25"/>
      <c r="D17" s="24" t="s">
        <v>9</v>
      </c>
      <c r="E17" s="18" t="s">
        <v>21</v>
      </c>
      <c r="F17" s="18" t="s">
        <v>17</v>
      </c>
      <c r="G17" s="19">
        <v>180</v>
      </c>
      <c r="H17" s="18">
        <v>3</v>
      </c>
      <c r="I17" s="20">
        <f t="shared" si="0"/>
        <v>540</v>
      </c>
      <c r="J17" s="1"/>
      <c r="K17" s="1"/>
      <c r="L17" s="1"/>
      <c r="M17" s="1"/>
      <c r="N17" s="1"/>
      <c r="O17" s="1"/>
      <c r="P17" s="1"/>
      <c r="Q17" s="1"/>
    </row>
    <row r="18" spans="1:17" ht="15.6" x14ac:dyDescent="0.3">
      <c r="A18" s="1"/>
      <c r="B18" s="1"/>
      <c r="C18" s="25"/>
      <c r="D18" s="24" t="s">
        <v>47</v>
      </c>
      <c r="E18" s="18" t="s">
        <v>10</v>
      </c>
      <c r="F18" s="18" t="s">
        <v>46</v>
      </c>
      <c r="G18" s="19">
        <v>80</v>
      </c>
      <c r="H18" s="18">
        <v>1</v>
      </c>
      <c r="I18" s="20">
        <f t="shared" si="0"/>
        <v>80</v>
      </c>
      <c r="J18" s="1"/>
      <c r="K18" s="1"/>
      <c r="L18" s="1"/>
      <c r="M18" s="1"/>
      <c r="N18" s="1"/>
      <c r="O18" s="1"/>
      <c r="P18" s="1"/>
      <c r="Q18" s="1"/>
    </row>
    <row r="19" spans="1:17" ht="15.6" x14ac:dyDescent="0.3">
      <c r="A19" s="1"/>
      <c r="B19" s="1"/>
      <c r="C19" s="25"/>
      <c r="D19" s="24" t="s">
        <v>48</v>
      </c>
      <c r="E19" s="18" t="s">
        <v>11</v>
      </c>
      <c r="F19" s="18" t="s">
        <v>46</v>
      </c>
      <c r="G19" s="19">
        <v>120</v>
      </c>
      <c r="H19" s="18">
        <v>2</v>
      </c>
      <c r="I19" s="20">
        <f t="shared" si="0"/>
        <v>240</v>
      </c>
      <c r="J19" s="1"/>
      <c r="K19" s="1"/>
      <c r="L19" s="1"/>
      <c r="M19" s="1"/>
      <c r="N19" s="1"/>
      <c r="O19" s="1"/>
      <c r="P19" s="1"/>
      <c r="Q19" s="1"/>
    </row>
    <row r="20" spans="1:17" ht="15.6" x14ac:dyDescent="0.3">
      <c r="A20" s="1"/>
      <c r="B20" s="1"/>
      <c r="C20" s="25"/>
      <c r="D20" s="24" t="s">
        <v>49</v>
      </c>
      <c r="E20" s="18" t="s">
        <v>16</v>
      </c>
      <c r="F20" s="18" t="s">
        <v>14</v>
      </c>
      <c r="G20" s="19">
        <v>120</v>
      </c>
      <c r="H20" s="18">
        <v>2</v>
      </c>
      <c r="I20" s="20">
        <f t="shared" si="0"/>
        <v>240</v>
      </c>
      <c r="J20" s="1"/>
      <c r="K20" s="1"/>
      <c r="L20" s="1"/>
      <c r="M20" s="1"/>
      <c r="N20" s="1"/>
      <c r="O20" s="1"/>
      <c r="P20" s="1"/>
      <c r="Q20" s="1"/>
    </row>
    <row r="21" spans="1:17" ht="15.6" x14ac:dyDescent="0.3">
      <c r="A21" s="1"/>
      <c r="B21" s="1"/>
      <c r="G21" s="21" t="s">
        <v>56</v>
      </c>
      <c r="H21" s="22">
        <f>SUM(H11:H20)</f>
        <v>26</v>
      </c>
      <c r="I21" s="23">
        <v>4100</v>
      </c>
      <c r="J21" s="1"/>
      <c r="K21" s="1"/>
      <c r="L21" s="1"/>
      <c r="M21" s="1"/>
      <c r="N21" s="1"/>
      <c r="O21" s="1"/>
      <c r="P21" s="1"/>
      <c r="Q21" s="1"/>
    </row>
    <row r="22" spans="1:17" ht="15.6" x14ac:dyDescent="0.3">
      <c r="A22" s="1"/>
      <c r="B22" s="1"/>
      <c r="I22" s="10"/>
      <c r="J22" s="1"/>
      <c r="K22" s="1"/>
      <c r="L22" s="1"/>
      <c r="M22" s="1"/>
      <c r="N22" s="1"/>
      <c r="O22" s="1"/>
      <c r="P22" s="1"/>
      <c r="Q22" s="1"/>
    </row>
    <row r="23" spans="1:17" ht="15.6" x14ac:dyDescent="0.3">
      <c r="A23" s="1"/>
      <c r="B23" s="1"/>
      <c r="C23" s="1" t="s">
        <v>53</v>
      </c>
      <c r="D23" s="1" t="s">
        <v>54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5.6" x14ac:dyDescent="0.3">
      <c r="A24" s="1"/>
      <c r="B24" s="1"/>
      <c r="C24" s="1"/>
      <c r="D24" s="11" t="s">
        <v>55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5.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5.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5.6" x14ac:dyDescent="0.3">
      <c r="A27" s="1"/>
      <c r="B27" s="1"/>
      <c r="C27" s="1"/>
      <c r="D27" s="26" t="s">
        <v>58</v>
      </c>
      <c r="E27" s="26"/>
      <c r="F27" s="2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5.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5.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5.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5.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5.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5.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5.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5.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5.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5.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5.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5.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5.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5.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5.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5.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5.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5.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5.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5.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5.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5.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5.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5.6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5.6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5.6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5.6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5.6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5.6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5.6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5.6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5.6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5.6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5.6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5.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5.6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5.6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5.6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5.6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5.6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5.6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5.6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5.6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5.6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5.6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5.6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5.6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5.6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5.6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5.6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5.6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5.6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5.6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5.6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5.6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5.6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5.6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5.6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5.6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5.6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5.6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5.6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5.6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5.6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5.6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5.6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5.6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5.6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5.6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5.6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5.6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5.6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5.6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5.6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5.6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5.6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5.6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5.6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5.6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5.6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5.6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5.6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5.6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5.6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5.6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5.6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5.6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5.6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5.6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5.6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5.6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5.6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5.6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5.6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5.6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5.6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5.6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5.6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5.6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5.6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5.6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5.6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5.6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5.6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5.6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5.6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5.6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5.6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5.6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5.6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5.6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5.6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5.6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5.6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5.6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5.6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5.6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5.6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5.6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5.6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5.6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5.6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5.6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5.6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5.6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5.6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5.6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5.6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5.6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5.6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5.6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5.6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5.6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5.6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5.6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5.6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5.6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5.6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5.6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5.6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5.6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5.6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5.6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5.6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5.6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5.6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5.6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5.6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5.6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5.6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5.6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5.6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5.6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5.6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5.6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5.6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5.6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5.6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5.6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5.6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5.6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5.6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5.6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5.6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5.6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5.6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5.6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5.6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5.6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5.6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5.6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5.6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5.6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5.6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5.6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5.6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5.6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5.6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5.6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5.6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5.6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5.6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5.6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5.6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5.6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5.6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5.6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5.6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5.6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5.6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5.6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5.6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5.6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5.6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5.6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5.6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5.6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5.6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5.6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5.6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5.6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5.6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5.6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5.6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5.6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5.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5.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5.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5.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5.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5.6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5.6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5.6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5.6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5.6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5.6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5.6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5.6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5.6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5.6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5.6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5.6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5.6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5.6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5.6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5.6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5.6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5.6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5.6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5.6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5.6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5.6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5.6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5.6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5.6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5.6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5.6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5.6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5.6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5.6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5.6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5.6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5.6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5.6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5.6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5.6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5.6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5.6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5.6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5.6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5.6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5.6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5.6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5.6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5.6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5.6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5.6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5.6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5.6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5.6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5.6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5.6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5.6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5.6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5.6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5.6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5.6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5.6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5.6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5.6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5.6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5.6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5.6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5.6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5.6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5.6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5.6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5.6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5.6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5.6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5.6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5.6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5.6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5.6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5.6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5.6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5.6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5.6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5.6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5.6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5.6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5.6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5.6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5.6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5.6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5.6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5.6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5.6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5.6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5.6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5.6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5.6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5.6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5.6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5.6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5.6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5.6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5.6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5.6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5.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5.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5.6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5.6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5.6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5.6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5.6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5.6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5.6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5.6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5.6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5.6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5.6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5.6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5.6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5.6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5.6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5.6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5.6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5.6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5.6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5.6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5.6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5.6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5.6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5.6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5.6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5.6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5.6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5.6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5.6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5.6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5.6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5.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5.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5.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5.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5.6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5.6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5.6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5.6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5.6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5.6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5.6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5.6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5.6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5.6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5.6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5.6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5.6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5.6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5.6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5.6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5.6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5.6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5.6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5.6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5.6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5.6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5.6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5.6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5.6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5.6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5.6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5.6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5.6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5.6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5.6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5.6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5.6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5.6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5.6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5.6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5.6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5.6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5.6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5.6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5.6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5.6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5.6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5.6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5.6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5.6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5.6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5.6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5.6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5.6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5.6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5.6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5.6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5.6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5.6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5.6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5.6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5.6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5.6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5.6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5.6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5.6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5.6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5.6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5.6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5.6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5.6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5.6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5.6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5.6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5.6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5.6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5.6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5.6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5.6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5.6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5.6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5.6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5.6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5.6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5.6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5.6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5.6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5.6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5.6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5.6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5.6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5.6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5.6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5.6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5.6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5.6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5.6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5.6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5.6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5.6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5.6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5.6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5.6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5.6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5.6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5.6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5.6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5.6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5.6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5.6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5.6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5.6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5.6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5.6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5.6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5.6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5.6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5.6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5.6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5.6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5.6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5.6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5.6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5.6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5.6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5.6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5.6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5.6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5.6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5.6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5.6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5.6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5.6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5.6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5.6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5.6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5.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5.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5.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5.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5.6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5.6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5.6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5.6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5.6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5.6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5.6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5.6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5.6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5.6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5.6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5.6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5.6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5.6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5.6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5.6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5.6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5.6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5.6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5.6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5.6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5.6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5.6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5.6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5.6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5.6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5.6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5.6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5.6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5.6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5.6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5.6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5.6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5.6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5.6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5.6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5.6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5.6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5.6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5.6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5.6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5.6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5.6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5.6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5.6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5.6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5.6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5.6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5.6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5.6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5.6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5.6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5.6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5.6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5.6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5.6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5.6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5.6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5.6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5.6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5.6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5.6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5.6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5.6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5.6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5.6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5.6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5.6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5.6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5.6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5.6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5.6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5.6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5.6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5.6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5.6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5.6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5.6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5.6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5.6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5.6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5.6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5.6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5.6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5.6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5.6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5.6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5.6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5.6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5.6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5.6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5.6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5.6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5.6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5.6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5.6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5.6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5.6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5.6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5.6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5.6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5.6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5.6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5.6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5.6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5.6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5.6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5.6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5.6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5.6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5.6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5.6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5.6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5.6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5.6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5.6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5.6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5.6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5.6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5.6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5.6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5.6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5.6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5.6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5.6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5.6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5.6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5.6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5.6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5.6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5.6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5.6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5.6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5.6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5.6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5.6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5.6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5.6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5.6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5.6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5.6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5.6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5.6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5.6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5.6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5.6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5.6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5.6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5.6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5.6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5.6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5.6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5.6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5.6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5.6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5.6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5.6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5.6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5.6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5.6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5.6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5.6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5.6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5.6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5.6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5.6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5.6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5.6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5.6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5.6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5.6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5.6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5.6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5.6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5.6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5.6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5.6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5.6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5.6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5.6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5.6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5.6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5.6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5.6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5.6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5.6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5.6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5.6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5.6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5.6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5.6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5.6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5.6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5.6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5.6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5.6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5.6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5.6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5.6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5.6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5.6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5.6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5.6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5.6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5.6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5.6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5.6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5.6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5.6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5.6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5.6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5.6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5.6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5.6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5.6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5.6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5.6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5.6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5.6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5.6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5.6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5.6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5.6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5.6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5.6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5.6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5.6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5.6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5.6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5.6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5.6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5.6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5.6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5.6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5.6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5.6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5.6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5.6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5.6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5.6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5.6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5.6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5.6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5.6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5.6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5.6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5.6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5.6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5.6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5.6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5.6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5.6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5.6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5.6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5.6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5.6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5.6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5.6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5.6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5.6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5.6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5.6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5.6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5.6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5.6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5.6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5.6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5.6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5.6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5.6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5.6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5.6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5.6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5.6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5.6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5.6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5.6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5.6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5.6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5.6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5.6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5.6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5.6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5.6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5.6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5.6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5.6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5.6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5.6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5.6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5.6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5.6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5.6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5.6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5.6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5.6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5.6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5.6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5.6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5.6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5.6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5.6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5.6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5.6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5.6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5.6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5.6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5.6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5.6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5.6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5.6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5.6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5.6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5.6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5.6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5.6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5.6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5.6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5.6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5.6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5.6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5.6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5.6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5.6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5.6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5.6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5.6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5.6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5.6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5.6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5.6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5.6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5.6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5.6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5.6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5.6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5.6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5.6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5.6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5.6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5.6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5.6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5.6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5.6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5.6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5.6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5.6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5.6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5.6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5.6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5.6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5.6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5.6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5.6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5.6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5.6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5.6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5.6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5.6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5.6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5.6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5.6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5.6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5.6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5.6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5.6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5.6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5.6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5.6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5.6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5.6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5.6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5.6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5.6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5.6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5.6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5.6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5.6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5.6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5.6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5.6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5.6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5.6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5.6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5.6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5.6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5.6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5.6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5.6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5.6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5.6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</sheetData>
  <mergeCells count="2">
    <mergeCell ref="C11:C20"/>
    <mergeCell ref="D27:F27"/>
  </mergeCells>
  <pageMargins left="0.7" right="0.7" top="0.75" bottom="0.75" header="0" footer="0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0"/>
  <sheetViews>
    <sheetView workbookViewId="0"/>
  </sheetViews>
  <sheetFormatPr defaultColWidth="12.6640625" defaultRowHeight="15" customHeight="1" x14ac:dyDescent="0.25"/>
  <cols>
    <col min="1" max="1" width="16.77734375" customWidth="1"/>
    <col min="2" max="2" width="23.88671875" customWidth="1"/>
    <col min="3" max="3" width="23.21875" customWidth="1"/>
  </cols>
  <sheetData>
    <row r="1" spans="1:3" ht="15" customHeight="1" x14ac:dyDescent="0.25">
      <c r="A1" s="6" t="s">
        <v>22</v>
      </c>
      <c r="B1" s="6" t="s">
        <v>23</v>
      </c>
      <c r="C1" s="6" t="s">
        <v>24</v>
      </c>
    </row>
    <row r="2" spans="1:3" ht="15" customHeight="1" x14ac:dyDescent="0.25">
      <c r="A2" s="7" t="s">
        <v>25</v>
      </c>
      <c r="B2" s="7" t="s">
        <v>26</v>
      </c>
      <c r="C2" s="8" t="s">
        <v>7</v>
      </c>
    </row>
    <row r="3" spans="1:3" ht="15" customHeight="1" x14ac:dyDescent="0.25">
      <c r="A3" s="7" t="s">
        <v>25</v>
      </c>
      <c r="B3" s="7" t="s">
        <v>27</v>
      </c>
      <c r="C3" s="8" t="s">
        <v>28</v>
      </c>
    </row>
    <row r="4" spans="1:3" ht="15" customHeight="1" x14ac:dyDescent="0.25">
      <c r="A4" s="7" t="s">
        <v>25</v>
      </c>
      <c r="B4" s="7" t="s">
        <v>29</v>
      </c>
      <c r="C4" s="8" t="s">
        <v>8</v>
      </c>
    </row>
    <row r="5" spans="1:3" ht="15" customHeight="1" x14ac:dyDescent="0.25">
      <c r="A5" s="7" t="s">
        <v>25</v>
      </c>
      <c r="B5" s="7" t="s">
        <v>30</v>
      </c>
      <c r="C5" s="8" t="s">
        <v>8</v>
      </c>
    </row>
    <row r="6" spans="1:3" ht="15" customHeight="1" x14ac:dyDescent="0.25">
      <c r="A6" s="7" t="s">
        <v>25</v>
      </c>
      <c r="B6" s="7" t="s">
        <v>31</v>
      </c>
      <c r="C6" s="8" t="s">
        <v>8</v>
      </c>
    </row>
    <row r="7" spans="1:3" ht="15" customHeight="1" x14ac:dyDescent="0.25">
      <c r="A7" s="7" t="s">
        <v>25</v>
      </c>
      <c r="B7" s="7" t="s">
        <v>32</v>
      </c>
      <c r="C7" s="8" t="s">
        <v>33</v>
      </c>
    </row>
    <row r="8" spans="1:3" ht="15" customHeight="1" x14ac:dyDescent="0.25">
      <c r="A8" s="7" t="s">
        <v>34</v>
      </c>
      <c r="B8" s="7" t="s">
        <v>35</v>
      </c>
      <c r="C8" s="8" t="s">
        <v>36</v>
      </c>
    </row>
    <row r="9" spans="1:3" ht="15" customHeight="1" x14ac:dyDescent="0.25">
      <c r="A9" s="7" t="s">
        <v>34</v>
      </c>
      <c r="B9" s="7" t="s">
        <v>37</v>
      </c>
      <c r="C9" s="8" t="s">
        <v>36</v>
      </c>
    </row>
    <row r="10" spans="1:3" ht="15" customHeight="1" x14ac:dyDescent="0.25">
      <c r="A10" s="7" t="s">
        <v>34</v>
      </c>
      <c r="B10" s="7" t="s">
        <v>38</v>
      </c>
      <c r="C10" s="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Crossings TV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Lejbowicz</dc:creator>
  <cp:lastModifiedBy>Charmaine Lane</cp:lastModifiedBy>
  <cp:lastPrinted>2026-04-15T21:34:36Z</cp:lastPrinted>
  <dcterms:created xsi:type="dcterms:W3CDTF">1998-01-27T14:56:36Z</dcterms:created>
  <dcterms:modified xsi:type="dcterms:W3CDTF">2026-04-20T20:33:21Z</dcterms:modified>
</cp:coreProperties>
</file>