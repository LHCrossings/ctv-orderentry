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rossingstv0-my.sharepoint.com/personal/charmaine_lane_crossingstv_com/Documents/"/>
    </mc:Choice>
  </mc:AlternateContent>
  <xr:revisionPtr revIDLastSave="1" documentId="8_{8DA4496B-B8BB-4854-97BA-3C860846B617}" xr6:coauthVersionLast="47" xr6:coauthVersionMax="47" xr10:uidLastSave="{5F3986C0-9665-460C-B03F-AFFE230F95DD}"/>
  <bookViews>
    <workbookView xWindow="-108" yWindow="-108" windowWidth="23256" windowHeight="12456" xr2:uid="{00000000-000D-0000-FFFF-FFFF00000000}"/>
  </bookViews>
  <sheets>
    <sheet name="Crossings TV" sheetId="4" r:id="rId1"/>
  </sheets>
  <externalReferences>
    <externalReference r:id="rId2"/>
  </externalReferences>
  <definedNames>
    <definedName name="ACAListEBITDA">[1]Ranking!#REF!,[1]Ranking!#REF!</definedName>
    <definedName name="ACAListNS">[1]Ranking!#REF!,[1]Ranking!#REF!</definedName>
    <definedName name="CHListEBITDA">[1]Ranking!#REF!,[1]Ranking!#REF!,[1]Ranking!#REF!,[1]Ranking!#REF!,[1]Ranking!#REF!,[1]Ranking!#REF!,[1]Ranking!#REF!,[1]Ranking!#REF!,[1]Ranking!#REF!</definedName>
    <definedName name="CHListNS">[1]Ranking!#REF!,[1]Ranking!#REF!,[1]Ranking!#REF!,[1]Ranking!#REF!,[1]Ranking!#REF!,[1]Ranking!#REF!,[1]Ranking!#REF!,[1]Ranking!#REF!,[1]Ranking!#REF!</definedName>
    <definedName name="ETListEBITDA">[1]Ranking!#REF!,[1]Ranking!#REF!,[1]Ranking!#REF!,[1]Ranking!#REF!,[1]Ranking!#REF!,[1]Ranking!#REF!,[1]Ranking!#REF!,[1]Ranking!#REF!,[1]Ranking!#REF!</definedName>
    <definedName name="ETListNS">[1]Ranking!#REF!,[1]Ranking!#REF!,[1]Ranking!#REF!,[1]Ranking!#REF!,[1]Ranking!#REF!,[1]Ranking!#REF!,[1]Ranking!#REF!,[1]Ranking!#REF!,[1]Ranking!#REF!</definedName>
    <definedName name="MBZRusnak">[1]Ranking!#REF!,[1]Ranking!#REF!,[1]Ranking!#REF!,[1]Ranking!#REF!,[1]Ranking!#REF!,[1]Ranking!#REF!,[1]Ranking!#REF!,[1]Ranking!#REF!,[1]Ranking!#REF!</definedName>
    <definedName name="Medium_Key">#REF!</definedName>
    <definedName name="OwnerRates">#REF!</definedName>
    <definedName name="RusnakMBZ2023">[1]Ranking!#REF!,[1]Ranking!#REF!</definedName>
    <definedName name="RusnakMBZQ22023">[1]Ranking!#REF!,[1]Ranking!#REF!</definedName>
    <definedName name="SIGListEBITDA">[1]Ranking!#REF!</definedName>
    <definedName name="SIGListNS">[1]Ranking!#REF!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lhT/MjOhITcYuZlH09J1vcSQMPkKJmKdLjTnFwbnS2g="/>
    </ext>
  </extLst>
</workbook>
</file>

<file path=xl/calcChain.xml><?xml version="1.0" encoding="utf-8"?>
<calcChain xmlns="http://schemas.openxmlformats.org/spreadsheetml/2006/main">
  <c r="L23" i="4" l="1"/>
  <c r="J23" i="4"/>
  <c r="M23" i="4" s="1"/>
  <c r="L22" i="4"/>
  <c r="J22" i="4"/>
  <c r="M22" i="4" s="1"/>
  <c r="L21" i="4"/>
  <c r="J21" i="4"/>
  <c r="M21" i="4" s="1"/>
  <c r="L20" i="4"/>
  <c r="J20" i="4"/>
  <c r="M20" i="4" s="1"/>
  <c r="L19" i="4"/>
  <c r="J19" i="4"/>
  <c r="M19" i="4" s="1"/>
  <c r="L18" i="4"/>
  <c r="J18" i="4"/>
  <c r="M18" i="4" s="1"/>
  <c r="L17" i="4"/>
  <c r="J17" i="4"/>
  <c r="M17" i="4" s="1"/>
  <c r="L16" i="4"/>
  <c r="J16" i="4"/>
  <c r="M16" i="4" s="1"/>
  <c r="L15" i="4"/>
  <c r="J15" i="4"/>
  <c r="M15" i="4" s="1"/>
  <c r="J11" i="4"/>
  <c r="L11" i="4"/>
  <c r="M11" i="4"/>
  <c r="J12" i="4"/>
  <c r="L12" i="4"/>
  <c r="M12" i="4"/>
  <c r="J13" i="4"/>
  <c r="M13" i="4" s="1"/>
  <c r="L13" i="4"/>
  <c r="J24" i="4" l="1"/>
  <c r="I24" i="4"/>
  <c r="D7" i="4" l="1"/>
  <c r="D8" i="4" s="1"/>
</calcChain>
</file>

<file path=xl/sharedStrings.xml><?xml version="1.0" encoding="utf-8"?>
<sst xmlns="http://schemas.openxmlformats.org/spreadsheetml/2006/main" count="89" uniqueCount="52">
  <si>
    <t>PREPARED FOR:</t>
  </si>
  <si>
    <t>AGENCY</t>
  </si>
  <si>
    <t>Polaris</t>
  </si>
  <si>
    <t>Advertiser</t>
  </si>
  <si>
    <t>PREPARED BY:</t>
  </si>
  <si>
    <t>Flight Date:</t>
  </si>
  <si>
    <t>TOTAL NET BUDGET:</t>
  </si>
  <si>
    <t>Media Name</t>
  </si>
  <si>
    <t>Program</t>
  </si>
  <si>
    <t>Days</t>
  </si>
  <si>
    <t>Time Period</t>
  </si>
  <si>
    <t>Daypart</t>
  </si>
  <si>
    <t>Unit</t>
  </si>
  <si>
    <t># Spot</t>
  </si>
  <si>
    <t>Cantonese</t>
  </si>
  <si>
    <t>EM</t>
  </si>
  <si>
    <t>:30</t>
  </si>
  <si>
    <t xml:space="preserve">DMA: LA </t>
  </si>
  <si>
    <t>PT</t>
  </si>
  <si>
    <t>LF</t>
  </si>
  <si>
    <t>M-F</t>
  </si>
  <si>
    <t>Crossings TV (Charmaine Lane)</t>
  </si>
  <si>
    <t>Sa</t>
  </si>
  <si>
    <t>Sa-Su</t>
  </si>
  <si>
    <t>Cantonese News</t>
  </si>
  <si>
    <t>7p-7:30p</t>
  </si>
  <si>
    <t>Cantonese Talk</t>
  </si>
  <si>
    <t>7:30p-8p</t>
  </si>
  <si>
    <t>11:30p-12a</t>
  </si>
  <si>
    <t>Total Crossings TV</t>
  </si>
  <si>
    <t>DMA: SF</t>
  </si>
  <si>
    <t>EN</t>
  </si>
  <si>
    <t>GROSS Rate</t>
  </si>
  <si>
    <t>NET Rate</t>
  </si>
  <si>
    <t>TOTAL GROSS BUDGET:</t>
  </si>
  <si>
    <t>TOTAL GROSS COST</t>
  </si>
  <si>
    <t>LN</t>
  </si>
  <si>
    <t>9p-10p</t>
  </si>
  <si>
    <t>Mandarin</t>
  </si>
  <si>
    <t>Affordable Santa Clara Supporting Ferraris and Opposing Wantanabe and Kertes for Mayor 2026, Sponsored by Forty Niners Football Company LLC</t>
  </si>
  <si>
    <t xml:space="preserve">Mandarin News </t>
  </si>
  <si>
    <t>Mandarin Education</t>
  </si>
  <si>
    <t>Mandarin Drama</t>
  </si>
  <si>
    <t>Mandarin Entertainment</t>
  </si>
  <si>
    <t>10p-11:30p</t>
  </si>
  <si>
    <t>6a-7a</t>
  </si>
  <si>
    <t>7a-8a</t>
  </si>
  <si>
    <t>8p-9p</t>
  </si>
  <si>
    <t>9p-12a</t>
  </si>
  <si>
    <t>Sept</t>
  </si>
  <si>
    <t>9/29-10/5</t>
  </si>
  <si>
    <t>WEEK  OF 9/29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</si>
</sst>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9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theme="6" tint="0.59999389629810485"/>
        <bgColor rgb="FFF2DBDB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44" fontId="1" fillId="0" borderId="0" xfId="0" applyNumberFormat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4" fontId="5" fillId="0" borderId="6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8" fillId="0" borderId="0" xfId="0" applyFont="1"/>
    <xf numFmtId="0" fontId="3" fillId="0" borderId="10" xfId="0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4" fontId="3" fillId="0" borderId="1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44" fontId="3" fillId="0" borderId="0" xfId="0" applyNumberFormat="1" applyFont="1" applyAlignment="1">
      <alignment horizontal="left"/>
    </xf>
    <xf numFmtId="44" fontId="1" fillId="5" borderId="9" xfId="0" applyNumberFormat="1" applyFont="1" applyFill="1" applyBorder="1" applyAlignment="1">
      <alignment horizontal="center"/>
    </xf>
    <xf numFmtId="44" fontId="3" fillId="6" borderId="0" xfId="0" applyNumberFormat="1" applyFont="1" applyFill="1" applyAlignment="1">
      <alignment horizontal="left"/>
    </xf>
    <xf numFmtId="164" fontId="1" fillId="4" borderId="0" xfId="0" applyNumberFormat="1" applyFont="1" applyFill="1"/>
    <xf numFmtId="164" fontId="1" fillId="4" borderId="9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0" borderId="2" xfId="0" applyFont="1" applyBorder="1"/>
    <xf numFmtId="0" fontId="4" fillId="0" borderId="3" xfId="0" applyFont="1" applyBorder="1"/>
    <xf numFmtId="1" fontId="5" fillId="7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01\APP01\APP01\APP01\APP01\APP01\APP01\APP01\APP01\APP01\APP01\APP01\APP01\Users\johncayne\Desktop\JC%20Inc\Global\Clients\RMR\2017\Store%20List\All%20Brand%20Unit%20List%20With%20Ranking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king"/>
      <sheetName val="Units"/>
      <sheetName val="Store Visits"/>
      <sheetName val="Creative Performance"/>
    </sheetNames>
    <sheetDataSet>
      <sheetData sheetId="0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83"/>
  <sheetViews>
    <sheetView tabSelected="1" workbookViewId="0">
      <selection activeCell="G7" sqref="G7"/>
    </sheetView>
  </sheetViews>
  <sheetFormatPr defaultColWidth="12.6640625" defaultRowHeight="15" customHeight="1" x14ac:dyDescent="0.25"/>
  <cols>
    <col min="1" max="2" width="9.109375" customWidth="1"/>
    <col min="3" max="3" width="29.109375" bestFit="1" customWidth="1"/>
    <col min="4" max="4" width="49.109375" customWidth="1"/>
    <col min="5" max="5" width="11.77734375" customWidth="1"/>
    <col min="6" max="7" width="14.44140625" customWidth="1"/>
    <col min="8" max="8" width="11.77734375" customWidth="1"/>
    <col min="9" max="9" width="9.33203125" customWidth="1"/>
    <col min="10" max="10" width="6.6640625" customWidth="1"/>
    <col min="11" max="11" width="14.6640625" customWidth="1"/>
    <col min="12" max="12" width="11.88671875" bestFit="1" customWidth="1"/>
    <col min="13" max="13" width="17" bestFit="1" customWidth="1"/>
    <col min="14" max="20" width="9.109375" customWidth="1"/>
  </cols>
  <sheetData>
    <row r="1" spans="1:20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</row>
    <row r="2" spans="1:20" ht="25.8" x14ac:dyDescent="0.5">
      <c r="A2" s="1"/>
      <c r="B2" s="3"/>
      <c r="C2" s="4" t="s">
        <v>0</v>
      </c>
      <c r="D2" s="4"/>
      <c r="E2" s="1"/>
      <c r="F2" s="1"/>
      <c r="G2" s="1"/>
      <c r="H2" s="1"/>
      <c r="I2" s="1"/>
      <c r="J2" s="1"/>
      <c r="K2" s="2"/>
      <c r="L2" s="1"/>
      <c r="M2" s="1"/>
      <c r="N2" s="1"/>
      <c r="O2" s="1"/>
      <c r="P2" s="1"/>
      <c r="Q2" s="1"/>
      <c r="R2" s="1"/>
      <c r="S2" s="1"/>
      <c r="T2" s="1"/>
    </row>
    <row r="3" spans="1:20" ht="25.8" x14ac:dyDescent="0.5">
      <c r="A3" s="1"/>
      <c r="B3" s="3"/>
      <c r="C3" s="4" t="s">
        <v>1</v>
      </c>
      <c r="D3" s="4" t="s">
        <v>2</v>
      </c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</row>
    <row r="4" spans="1:20" ht="25.8" x14ac:dyDescent="0.5">
      <c r="A4" s="1"/>
      <c r="B4" s="3"/>
      <c r="C4" s="4" t="s">
        <v>3</v>
      </c>
      <c r="D4" s="4" t="s">
        <v>39</v>
      </c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</row>
    <row r="5" spans="1:20" ht="15.6" x14ac:dyDescent="0.3">
      <c r="A5" s="1"/>
      <c r="B5" s="1"/>
      <c r="C5" s="4" t="s">
        <v>4</v>
      </c>
      <c r="D5" s="4"/>
      <c r="E5" s="1"/>
      <c r="F5" s="1"/>
      <c r="G5" s="1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</row>
    <row r="6" spans="1:20" ht="15.6" x14ac:dyDescent="0.3">
      <c r="A6" s="1"/>
      <c r="B6" s="1"/>
      <c r="C6" s="4" t="s">
        <v>5</v>
      </c>
      <c r="D6" s="5" t="s">
        <v>50</v>
      </c>
      <c r="E6" s="1"/>
      <c r="F6" s="1"/>
      <c r="G6" s="1"/>
      <c r="H6" s="1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</row>
    <row r="7" spans="1:20" ht="15.6" x14ac:dyDescent="0.3">
      <c r="A7" s="1"/>
      <c r="B7" s="1"/>
      <c r="C7" s="4" t="s">
        <v>34</v>
      </c>
      <c r="D7" s="27">
        <f>I24</f>
        <v>4276</v>
      </c>
      <c r="E7" s="1"/>
      <c r="F7" s="1"/>
      <c r="G7" s="1"/>
      <c r="H7" s="1"/>
      <c r="I7" s="1"/>
      <c r="J7" s="1"/>
      <c r="K7" s="2"/>
      <c r="L7" s="1"/>
      <c r="M7" s="1"/>
      <c r="N7" s="1"/>
      <c r="O7" s="1"/>
      <c r="P7" s="1"/>
      <c r="Q7" s="1"/>
      <c r="R7" s="1"/>
      <c r="S7" s="1"/>
      <c r="T7" s="1"/>
    </row>
    <row r="8" spans="1:20" ht="15.75" customHeight="1" thickBot="1" x14ac:dyDescent="0.35">
      <c r="A8" s="1"/>
      <c r="B8" s="1"/>
      <c r="C8" s="4" t="s">
        <v>6</v>
      </c>
      <c r="D8" s="25">
        <f>D7*0.85</f>
        <v>3634.6</v>
      </c>
      <c r="E8" s="1"/>
      <c r="F8" s="1"/>
      <c r="G8" s="1"/>
      <c r="H8" s="1"/>
      <c r="I8" s="32" t="s">
        <v>51</v>
      </c>
      <c r="J8" s="33"/>
      <c r="K8" s="34"/>
      <c r="L8" s="1"/>
      <c r="M8" s="1"/>
      <c r="N8" s="1"/>
      <c r="O8" s="1"/>
      <c r="P8" s="1"/>
      <c r="Q8" s="1"/>
      <c r="R8" s="1"/>
      <c r="S8" s="1"/>
      <c r="T8" s="1"/>
    </row>
    <row r="9" spans="1:20" ht="15" customHeight="1" thickBot="1" x14ac:dyDescent="0.35">
      <c r="A9" s="1"/>
      <c r="B9" s="1"/>
      <c r="C9" s="1"/>
      <c r="D9" s="1"/>
      <c r="E9" s="1"/>
      <c r="F9" s="1"/>
      <c r="G9" s="1"/>
      <c r="H9" s="1"/>
      <c r="I9" s="6" t="s">
        <v>49</v>
      </c>
      <c r="J9" s="7">
        <v>2026</v>
      </c>
      <c r="K9" s="8"/>
      <c r="L9" s="1"/>
      <c r="M9" s="1"/>
      <c r="N9" s="1"/>
      <c r="O9" s="1"/>
      <c r="P9" s="1"/>
      <c r="Q9" s="1"/>
      <c r="R9" s="1"/>
      <c r="S9" s="1"/>
      <c r="T9" s="1"/>
    </row>
    <row r="10" spans="1:20" ht="15.6" x14ac:dyDescent="0.3">
      <c r="A10" s="1"/>
      <c r="B10" s="1"/>
      <c r="C10" s="9" t="s">
        <v>7</v>
      </c>
      <c r="D10" s="9" t="s">
        <v>8</v>
      </c>
      <c r="E10" s="9" t="s">
        <v>9</v>
      </c>
      <c r="F10" s="9" t="s">
        <v>10</v>
      </c>
      <c r="G10" s="9" t="s">
        <v>11</v>
      </c>
      <c r="H10" s="9" t="s">
        <v>12</v>
      </c>
      <c r="I10" s="35">
        <v>29</v>
      </c>
      <c r="J10" s="10" t="s">
        <v>13</v>
      </c>
      <c r="K10" s="11" t="s">
        <v>32</v>
      </c>
      <c r="L10" s="11" t="s">
        <v>33</v>
      </c>
      <c r="M10" s="11" t="s">
        <v>35</v>
      </c>
      <c r="N10" s="1"/>
      <c r="O10" s="1"/>
      <c r="P10" s="1"/>
      <c r="Q10" s="1"/>
      <c r="R10" s="1"/>
      <c r="S10" s="1"/>
      <c r="T10" s="1"/>
    </row>
    <row r="11" spans="1:20" ht="15.6" hidden="1" x14ac:dyDescent="0.3">
      <c r="A11" s="17"/>
      <c r="B11" s="17"/>
      <c r="C11" s="12" t="s">
        <v>14</v>
      </c>
      <c r="D11" s="13" t="s">
        <v>24</v>
      </c>
      <c r="E11" s="13" t="s">
        <v>20</v>
      </c>
      <c r="F11" s="14" t="s">
        <v>25</v>
      </c>
      <c r="G11" s="14" t="s">
        <v>31</v>
      </c>
      <c r="H11" s="14" t="s">
        <v>16</v>
      </c>
      <c r="I11" s="15">
        <v>0</v>
      </c>
      <c r="J11" s="15">
        <f t="shared" ref="J11:J13" si="0">SUM(I11)</f>
        <v>0</v>
      </c>
      <c r="K11" s="28">
        <v>212</v>
      </c>
      <c r="L11" s="29">
        <f t="shared" ref="L11:L13" si="1">K11*0.85</f>
        <v>180.2</v>
      </c>
      <c r="M11" s="26">
        <f t="shared" ref="M11:M13" si="2">J11*K11</f>
        <v>0</v>
      </c>
      <c r="N11" s="17"/>
      <c r="O11" s="17"/>
      <c r="P11" s="17"/>
      <c r="Q11" s="17"/>
      <c r="R11" s="17"/>
      <c r="S11" s="17"/>
      <c r="T11" s="17"/>
    </row>
    <row r="12" spans="1:20" ht="15.6" hidden="1" x14ac:dyDescent="0.3">
      <c r="A12" s="17"/>
      <c r="B12" s="17"/>
      <c r="C12" s="16" t="s">
        <v>17</v>
      </c>
      <c r="D12" s="13" t="s">
        <v>26</v>
      </c>
      <c r="E12" s="13" t="s">
        <v>20</v>
      </c>
      <c r="F12" s="14" t="s">
        <v>27</v>
      </c>
      <c r="G12" s="14" t="s">
        <v>18</v>
      </c>
      <c r="H12" s="14" t="s">
        <v>16</v>
      </c>
      <c r="I12" s="15">
        <v>0</v>
      </c>
      <c r="J12" s="15">
        <f t="shared" si="0"/>
        <v>0</v>
      </c>
      <c r="K12" s="28">
        <v>212</v>
      </c>
      <c r="L12" s="29">
        <f t="shared" si="1"/>
        <v>180.2</v>
      </c>
      <c r="M12" s="26">
        <f t="shared" si="2"/>
        <v>0</v>
      </c>
      <c r="N12" s="17"/>
      <c r="O12" s="17"/>
      <c r="P12" s="17"/>
      <c r="Q12" s="17"/>
      <c r="R12" s="17"/>
      <c r="S12" s="17"/>
      <c r="T12" s="17"/>
    </row>
    <row r="13" spans="1:20" ht="15.6" hidden="1" x14ac:dyDescent="0.3">
      <c r="A13" s="17"/>
      <c r="B13" s="17"/>
      <c r="C13" s="16" t="s">
        <v>21</v>
      </c>
      <c r="D13" s="13" t="s">
        <v>24</v>
      </c>
      <c r="E13" s="13" t="s">
        <v>20</v>
      </c>
      <c r="F13" s="14" t="s">
        <v>28</v>
      </c>
      <c r="G13" s="14" t="s">
        <v>19</v>
      </c>
      <c r="H13" s="14" t="s">
        <v>16</v>
      </c>
      <c r="I13" s="15">
        <v>0</v>
      </c>
      <c r="J13" s="15">
        <f t="shared" si="0"/>
        <v>0</v>
      </c>
      <c r="K13" s="28">
        <v>212</v>
      </c>
      <c r="L13" s="29">
        <f t="shared" si="1"/>
        <v>180.2</v>
      </c>
      <c r="M13" s="26">
        <f t="shared" si="2"/>
        <v>0</v>
      </c>
      <c r="N13" s="17"/>
      <c r="O13" s="17"/>
      <c r="P13" s="17"/>
      <c r="Q13" s="17"/>
      <c r="R13" s="17"/>
      <c r="S13" s="17"/>
      <c r="T13" s="17"/>
    </row>
    <row r="14" spans="1:20" ht="15.6" hidden="1" x14ac:dyDescent="0.3">
      <c r="A14" s="17"/>
      <c r="B14" s="17"/>
      <c r="C14" s="24"/>
      <c r="D14" s="23"/>
      <c r="E14" s="23"/>
      <c r="F14" s="22"/>
      <c r="G14" s="22"/>
      <c r="H14" s="22"/>
      <c r="I14" s="15"/>
      <c r="J14" s="15"/>
      <c r="K14" s="28"/>
      <c r="L14" s="29"/>
      <c r="M14" s="26"/>
      <c r="N14" s="17"/>
      <c r="O14" s="17"/>
      <c r="P14" s="17"/>
      <c r="Q14" s="17"/>
      <c r="R14" s="17"/>
      <c r="S14" s="17"/>
      <c r="T14" s="17"/>
    </row>
    <row r="15" spans="1:20" ht="15.6" x14ac:dyDescent="0.3">
      <c r="A15" s="17"/>
      <c r="B15" s="17"/>
      <c r="C15" s="12" t="s">
        <v>38</v>
      </c>
      <c r="D15" s="23" t="s">
        <v>40</v>
      </c>
      <c r="E15" s="23" t="s">
        <v>20</v>
      </c>
      <c r="F15" s="22" t="s">
        <v>45</v>
      </c>
      <c r="G15" s="14" t="s">
        <v>15</v>
      </c>
      <c r="H15" s="14" t="s">
        <v>16</v>
      </c>
      <c r="I15" s="15">
        <v>5</v>
      </c>
      <c r="J15" s="15">
        <f t="shared" ref="J15:J23" si="3">SUM(I15)</f>
        <v>5</v>
      </c>
      <c r="K15" s="28">
        <v>120</v>
      </c>
      <c r="L15" s="29">
        <f t="shared" ref="L15:L23" si="4">K15*0.85</f>
        <v>102</v>
      </c>
      <c r="M15" s="26">
        <f t="shared" ref="M15:M23" si="5">J15*K15</f>
        <v>600</v>
      </c>
      <c r="N15" s="17"/>
      <c r="O15" s="17"/>
      <c r="P15" s="17"/>
      <c r="Q15" s="17"/>
      <c r="R15" s="17"/>
    </row>
    <row r="16" spans="1:20" ht="15.6" x14ac:dyDescent="0.3">
      <c r="A16" s="17"/>
      <c r="B16" s="17"/>
      <c r="C16" s="16" t="s">
        <v>30</v>
      </c>
      <c r="D16" s="23" t="s">
        <v>41</v>
      </c>
      <c r="E16" s="23" t="s">
        <v>20</v>
      </c>
      <c r="F16" s="22" t="s">
        <v>46</v>
      </c>
      <c r="G16" s="14" t="s">
        <v>15</v>
      </c>
      <c r="H16" s="14" t="s">
        <v>16</v>
      </c>
      <c r="I16" s="15">
        <v>3</v>
      </c>
      <c r="J16" s="15">
        <f t="shared" si="3"/>
        <v>3</v>
      </c>
      <c r="K16" s="28">
        <v>120</v>
      </c>
      <c r="L16" s="29">
        <f t="shared" si="4"/>
        <v>102</v>
      </c>
      <c r="M16" s="26">
        <f t="shared" si="5"/>
        <v>360</v>
      </c>
      <c r="N16" s="17"/>
      <c r="O16" s="17"/>
      <c r="P16" s="17"/>
      <c r="Q16" s="17"/>
      <c r="R16" s="17"/>
    </row>
    <row r="17" spans="1:20" ht="15.6" x14ac:dyDescent="0.3">
      <c r="A17" s="17"/>
      <c r="B17" s="17"/>
      <c r="C17" s="16" t="s">
        <v>21</v>
      </c>
      <c r="D17" s="23" t="s">
        <v>40</v>
      </c>
      <c r="E17" s="23" t="s">
        <v>20</v>
      </c>
      <c r="F17" s="22" t="s">
        <v>47</v>
      </c>
      <c r="G17" s="14" t="s">
        <v>36</v>
      </c>
      <c r="H17" s="14" t="s">
        <v>16</v>
      </c>
      <c r="I17" s="15">
        <v>5</v>
      </c>
      <c r="J17" s="15">
        <f t="shared" si="3"/>
        <v>5</v>
      </c>
      <c r="K17" s="28">
        <v>212</v>
      </c>
      <c r="L17" s="29">
        <f t="shared" si="4"/>
        <v>180.2</v>
      </c>
      <c r="M17" s="26">
        <f t="shared" si="5"/>
        <v>1060</v>
      </c>
      <c r="N17" s="17"/>
      <c r="O17" s="17"/>
      <c r="P17" s="17"/>
      <c r="Q17" s="17"/>
      <c r="R17" s="17"/>
    </row>
    <row r="18" spans="1:20" ht="15.6" x14ac:dyDescent="0.3">
      <c r="A18" s="17"/>
      <c r="B18" s="17"/>
      <c r="C18" s="24"/>
      <c r="D18" s="30" t="s">
        <v>42</v>
      </c>
      <c r="E18" s="23" t="s">
        <v>20</v>
      </c>
      <c r="F18" s="31" t="s">
        <v>37</v>
      </c>
      <c r="G18" s="31" t="s">
        <v>18</v>
      </c>
      <c r="H18" s="14" t="s">
        <v>16</v>
      </c>
      <c r="I18" s="15">
        <v>5</v>
      </c>
      <c r="J18" s="15">
        <f t="shared" si="3"/>
        <v>5</v>
      </c>
      <c r="K18" s="28">
        <v>212</v>
      </c>
      <c r="L18" s="29">
        <f t="shared" si="4"/>
        <v>180.2</v>
      </c>
      <c r="M18" s="26">
        <f t="shared" si="5"/>
        <v>1060</v>
      </c>
      <c r="N18" s="17"/>
      <c r="O18" s="17"/>
      <c r="P18" s="17"/>
      <c r="Q18" s="17"/>
      <c r="R18" s="17"/>
    </row>
    <row r="19" spans="1:20" ht="15.6" x14ac:dyDescent="0.3">
      <c r="A19" s="17"/>
      <c r="B19" s="17"/>
      <c r="C19" s="24"/>
      <c r="D19" s="30" t="s">
        <v>43</v>
      </c>
      <c r="E19" s="23" t="s">
        <v>20</v>
      </c>
      <c r="F19" s="31" t="s">
        <v>44</v>
      </c>
      <c r="G19" s="31" t="s">
        <v>18</v>
      </c>
      <c r="H19" s="14" t="s">
        <v>16</v>
      </c>
      <c r="I19" s="15">
        <v>3</v>
      </c>
      <c r="J19" s="15">
        <f t="shared" si="3"/>
        <v>3</v>
      </c>
      <c r="K19" s="28">
        <v>212</v>
      </c>
      <c r="L19" s="29">
        <f t="shared" si="4"/>
        <v>180.2</v>
      </c>
      <c r="M19" s="26">
        <f t="shared" si="5"/>
        <v>636</v>
      </c>
      <c r="N19" s="17"/>
      <c r="O19" s="17"/>
      <c r="P19" s="17"/>
      <c r="Q19" s="17"/>
      <c r="R19" s="17"/>
    </row>
    <row r="20" spans="1:20" ht="15.6" x14ac:dyDescent="0.3">
      <c r="A20" s="17"/>
      <c r="B20" s="17"/>
      <c r="C20" s="24"/>
      <c r="D20" s="30" t="s">
        <v>40</v>
      </c>
      <c r="E20" s="23" t="s">
        <v>22</v>
      </c>
      <c r="F20" s="31" t="s">
        <v>45</v>
      </c>
      <c r="G20" s="31" t="s">
        <v>15</v>
      </c>
      <c r="H20" s="14" t="s">
        <v>16</v>
      </c>
      <c r="I20" s="15">
        <v>0</v>
      </c>
      <c r="J20" s="15">
        <f t="shared" si="3"/>
        <v>0</v>
      </c>
      <c r="K20" s="28">
        <v>90</v>
      </c>
      <c r="L20" s="29">
        <f t="shared" si="4"/>
        <v>76.5</v>
      </c>
      <c r="M20" s="26">
        <f t="shared" si="5"/>
        <v>0</v>
      </c>
      <c r="N20" s="17"/>
      <c r="O20" s="17"/>
      <c r="P20" s="17"/>
      <c r="Q20" s="17"/>
      <c r="R20" s="17"/>
    </row>
    <row r="21" spans="1:20" ht="15.6" x14ac:dyDescent="0.3">
      <c r="A21" s="17"/>
      <c r="B21" s="17"/>
      <c r="C21" s="24"/>
      <c r="D21" s="30" t="s">
        <v>41</v>
      </c>
      <c r="E21" s="23" t="s">
        <v>23</v>
      </c>
      <c r="F21" s="31" t="s">
        <v>46</v>
      </c>
      <c r="G21" s="31" t="s">
        <v>15</v>
      </c>
      <c r="H21" s="14" t="s">
        <v>16</v>
      </c>
      <c r="I21" s="15">
        <v>0</v>
      </c>
      <c r="J21" s="15">
        <f t="shared" si="3"/>
        <v>0</v>
      </c>
      <c r="K21" s="28">
        <v>90</v>
      </c>
      <c r="L21" s="29">
        <f t="shared" si="4"/>
        <v>76.5</v>
      </c>
      <c r="M21" s="26">
        <f t="shared" si="5"/>
        <v>0</v>
      </c>
      <c r="N21" s="17"/>
      <c r="O21" s="17"/>
      <c r="P21" s="17"/>
      <c r="Q21" s="17"/>
      <c r="R21" s="17"/>
    </row>
    <row r="22" spans="1:20" ht="15.6" x14ac:dyDescent="0.3">
      <c r="A22" s="17"/>
      <c r="B22" s="17"/>
      <c r="C22" s="24"/>
      <c r="D22" s="30" t="s">
        <v>40</v>
      </c>
      <c r="E22" s="23" t="s">
        <v>23</v>
      </c>
      <c r="F22" s="31" t="s">
        <v>47</v>
      </c>
      <c r="G22" s="31" t="s">
        <v>36</v>
      </c>
      <c r="H22" s="14" t="s">
        <v>16</v>
      </c>
      <c r="I22" s="15">
        <v>2</v>
      </c>
      <c r="J22" s="15">
        <f t="shared" si="3"/>
        <v>2</v>
      </c>
      <c r="K22" s="28">
        <v>140</v>
      </c>
      <c r="L22" s="29">
        <f t="shared" si="4"/>
        <v>119</v>
      </c>
      <c r="M22" s="26">
        <f t="shared" si="5"/>
        <v>280</v>
      </c>
      <c r="N22" s="17"/>
      <c r="O22" s="17"/>
      <c r="P22" s="17"/>
      <c r="Q22" s="17"/>
      <c r="R22" s="17"/>
    </row>
    <row r="23" spans="1:20" ht="16.2" thickBot="1" x14ac:dyDescent="0.35">
      <c r="A23" s="17"/>
      <c r="B23" s="17"/>
      <c r="C23" s="24"/>
      <c r="D23" s="30" t="s">
        <v>43</v>
      </c>
      <c r="E23" s="23" t="s">
        <v>23</v>
      </c>
      <c r="F23" s="31" t="s">
        <v>48</v>
      </c>
      <c r="G23" s="31" t="s">
        <v>18</v>
      </c>
      <c r="H23" s="14" t="s">
        <v>16</v>
      </c>
      <c r="I23" s="15">
        <v>2</v>
      </c>
      <c r="J23" s="15">
        <f t="shared" si="3"/>
        <v>2</v>
      </c>
      <c r="K23" s="28">
        <v>140</v>
      </c>
      <c r="L23" s="29">
        <f t="shared" si="4"/>
        <v>119</v>
      </c>
      <c r="M23" s="26">
        <f t="shared" si="5"/>
        <v>280</v>
      </c>
      <c r="N23" s="17"/>
      <c r="O23" s="17"/>
      <c r="P23" s="17"/>
      <c r="Q23" s="17"/>
      <c r="R23" s="17"/>
    </row>
    <row r="24" spans="1:20" ht="16.8" thickTop="1" thickBot="1" x14ac:dyDescent="0.35">
      <c r="A24" s="1"/>
      <c r="B24" s="4"/>
      <c r="C24" s="18" t="s">
        <v>29</v>
      </c>
      <c r="D24" s="21"/>
      <c r="E24" s="21"/>
      <c r="F24" s="21"/>
      <c r="G24" s="21"/>
      <c r="H24" s="21"/>
      <c r="I24" s="19">
        <f>SUM(M11:M23)</f>
        <v>4276</v>
      </c>
      <c r="J24" s="20">
        <f>SUM(J11:J17)</f>
        <v>13</v>
      </c>
      <c r="K24" s="19"/>
      <c r="L24" s="19"/>
      <c r="M24" s="21"/>
      <c r="N24" s="1"/>
      <c r="O24" s="1"/>
      <c r="P24" s="1"/>
      <c r="Q24" s="1"/>
      <c r="R24" s="1"/>
    </row>
    <row r="25" spans="1:20" ht="16.2" thickTop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1"/>
      <c r="M25" s="1"/>
      <c r="N25" s="1"/>
      <c r="O25" s="1"/>
      <c r="P25" s="1"/>
      <c r="Q25" s="1"/>
      <c r="R25" s="1"/>
      <c r="S25" s="1"/>
      <c r="T25" s="1"/>
    </row>
    <row r="26" spans="1:20" ht="15.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  <c r="L26" s="1"/>
      <c r="M26" s="1"/>
      <c r="N26" s="1"/>
      <c r="O26" s="1"/>
      <c r="P26" s="1"/>
      <c r="Q26" s="1"/>
      <c r="R26" s="1"/>
      <c r="S26" s="1"/>
      <c r="T26" s="1"/>
    </row>
    <row r="27" spans="1:20" ht="15.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2"/>
      <c r="L27" s="1"/>
      <c r="M27" s="1"/>
      <c r="N27" s="1"/>
      <c r="O27" s="1"/>
      <c r="P27" s="1"/>
      <c r="Q27" s="1"/>
      <c r="R27" s="1"/>
      <c r="S27" s="1"/>
      <c r="T27" s="1"/>
    </row>
    <row r="28" spans="1:20" ht="15.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2"/>
      <c r="L28" s="1"/>
      <c r="M28" s="1"/>
      <c r="N28" s="1"/>
      <c r="O28" s="1"/>
      <c r="P28" s="1"/>
      <c r="Q28" s="1"/>
      <c r="R28" s="1"/>
      <c r="S28" s="1"/>
      <c r="T28" s="1"/>
    </row>
    <row r="29" spans="1:20" ht="15.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2"/>
      <c r="L29" s="1"/>
      <c r="M29" s="1"/>
      <c r="N29" s="1"/>
      <c r="O29" s="1"/>
      <c r="P29" s="1"/>
      <c r="Q29" s="1"/>
      <c r="R29" s="1"/>
      <c r="S29" s="1"/>
      <c r="T29" s="1"/>
    </row>
    <row r="30" spans="1:20" ht="15.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  <c r="L30" s="1"/>
      <c r="M30" s="1"/>
      <c r="N30" s="1"/>
      <c r="O30" s="1"/>
      <c r="P30" s="1"/>
      <c r="Q30" s="1"/>
      <c r="R30" s="1"/>
      <c r="S30" s="1"/>
      <c r="T30" s="1"/>
    </row>
    <row r="31" spans="1:20" ht="15.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2"/>
      <c r="L31" s="1"/>
      <c r="M31" s="1"/>
      <c r="N31" s="1"/>
      <c r="O31" s="1"/>
      <c r="P31" s="1"/>
      <c r="Q31" s="1"/>
      <c r="R31" s="1"/>
      <c r="S31" s="1"/>
      <c r="T31" s="1"/>
    </row>
    <row r="32" spans="1:20" ht="15.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2"/>
      <c r="L32" s="1"/>
      <c r="M32" s="1"/>
      <c r="N32" s="1"/>
      <c r="O32" s="1"/>
      <c r="P32" s="1"/>
      <c r="Q32" s="1"/>
      <c r="R32" s="1"/>
      <c r="S32" s="1"/>
      <c r="T32" s="1"/>
    </row>
    <row r="33" spans="1:20" ht="15.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  <c r="L33" s="1"/>
      <c r="M33" s="1"/>
      <c r="N33" s="1"/>
      <c r="O33" s="1"/>
      <c r="P33" s="1"/>
      <c r="Q33" s="1"/>
      <c r="R33" s="1"/>
      <c r="S33" s="1"/>
      <c r="T33" s="1"/>
    </row>
    <row r="34" spans="1:20" ht="15.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2"/>
      <c r="L34" s="1"/>
      <c r="M34" s="1"/>
      <c r="N34" s="1"/>
      <c r="O34" s="1"/>
      <c r="P34" s="1"/>
      <c r="Q34" s="1"/>
      <c r="R34" s="1"/>
      <c r="S34" s="1"/>
      <c r="T34" s="1"/>
    </row>
    <row r="35" spans="1:20" ht="15.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  <c r="L35" s="1"/>
      <c r="M35" s="1"/>
      <c r="N35" s="1"/>
      <c r="O35" s="1"/>
      <c r="P35" s="1"/>
      <c r="Q35" s="1"/>
      <c r="R35" s="1"/>
      <c r="S35" s="1"/>
      <c r="T35" s="1"/>
    </row>
    <row r="36" spans="1:20" ht="15.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</row>
    <row r="37" spans="1:20" ht="15.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</row>
    <row r="38" spans="1:20" ht="15.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  <c r="L38" s="1"/>
      <c r="M38" s="1"/>
      <c r="N38" s="1"/>
      <c r="O38" s="1"/>
      <c r="P38" s="1"/>
      <c r="Q38" s="1"/>
      <c r="R38" s="1"/>
      <c r="S38" s="1"/>
      <c r="T38" s="1"/>
    </row>
    <row r="39" spans="1:20" ht="15.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  <c r="L39" s="1"/>
      <c r="M39" s="1"/>
      <c r="N39" s="1"/>
      <c r="O39" s="1"/>
      <c r="P39" s="1"/>
      <c r="Q39" s="1"/>
      <c r="R39" s="1"/>
      <c r="S39" s="1"/>
      <c r="T39" s="1"/>
    </row>
    <row r="40" spans="1:20" ht="15.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2"/>
      <c r="L40" s="1"/>
      <c r="M40" s="1"/>
      <c r="N40" s="1"/>
      <c r="O40" s="1"/>
      <c r="P40" s="1"/>
      <c r="Q40" s="1"/>
      <c r="R40" s="1"/>
      <c r="S40" s="1"/>
      <c r="T40" s="1"/>
    </row>
    <row r="41" spans="1:20" ht="15.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  <c r="L41" s="1"/>
      <c r="M41" s="1"/>
      <c r="N41" s="1"/>
      <c r="O41" s="1"/>
      <c r="P41" s="1"/>
      <c r="Q41" s="1"/>
      <c r="R41" s="1"/>
      <c r="S41" s="1"/>
      <c r="T41" s="1"/>
    </row>
    <row r="42" spans="1:20" ht="15.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  <c r="L42" s="1"/>
      <c r="M42" s="1"/>
      <c r="N42" s="1"/>
      <c r="O42" s="1"/>
      <c r="P42" s="1"/>
      <c r="Q42" s="1"/>
      <c r="R42" s="1"/>
      <c r="S42" s="1"/>
      <c r="T42" s="1"/>
    </row>
    <row r="43" spans="1:20" ht="15.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  <c r="L43" s="1"/>
      <c r="M43" s="1"/>
      <c r="N43" s="1"/>
      <c r="O43" s="1"/>
      <c r="P43" s="1"/>
      <c r="Q43" s="1"/>
      <c r="R43" s="1"/>
      <c r="S43" s="1"/>
      <c r="T43" s="1"/>
    </row>
    <row r="44" spans="1:20" ht="15.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  <c r="L44" s="1"/>
      <c r="M44" s="1"/>
      <c r="N44" s="1"/>
      <c r="O44" s="1"/>
      <c r="P44" s="1"/>
      <c r="Q44" s="1"/>
      <c r="R44" s="1"/>
      <c r="S44" s="1"/>
      <c r="T44" s="1"/>
    </row>
    <row r="45" spans="1:20" ht="15.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  <c r="L45" s="1"/>
      <c r="M45" s="1"/>
      <c r="N45" s="1"/>
      <c r="O45" s="1"/>
      <c r="P45" s="1"/>
      <c r="Q45" s="1"/>
      <c r="R45" s="1"/>
      <c r="S45" s="1"/>
      <c r="T45" s="1"/>
    </row>
    <row r="46" spans="1:20" ht="15.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1"/>
      <c r="M46" s="1"/>
      <c r="N46" s="1"/>
      <c r="O46" s="1"/>
      <c r="P46" s="1"/>
      <c r="Q46" s="1"/>
      <c r="R46" s="1"/>
      <c r="S46" s="1"/>
      <c r="T46" s="1"/>
    </row>
    <row r="47" spans="1:20" ht="15.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1"/>
      <c r="M47" s="1"/>
      <c r="N47" s="1"/>
      <c r="O47" s="1"/>
      <c r="P47" s="1"/>
      <c r="Q47" s="1"/>
      <c r="R47" s="1"/>
      <c r="S47" s="1"/>
      <c r="T47" s="1"/>
    </row>
    <row r="48" spans="1:20" ht="15.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1"/>
      <c r="M48" s="1"/>
      <c r="N48" s="1"/>
      <c r="O48" s="1"/>
      <c r="P48" s="1"/>
      <c r="Q48" s="1"/>
      <c r="R48" s="1"/>
      <c r="S48" s="1"/>
      <c r="T48" s="1"/>
    </row>
    <row r="49" spans="1:20" ht="15.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  <c r="L49" s="1"/>
      <c r="M49" s="1"/>
      <c r="N49" s="1"/>
      <c r="O49" s="1"/>
      <c r="P49" s="1"/>
      <c r="Q49" s="1"/>
      <c r="R49" s="1"/>
      <c r="S49" s="1"/>
      <c r="T49" s="1"/>
    </row>
    <row r="50" spans="1:20" ht="15.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  <c r="L50" s="1"/>
      <c r="M50" s="1"/>
      <c r="N50" s="1"/>
      <c r="O50" s="1"/>
      <c r="P50" s="1"/>
      <c r="Q50" s="1"/>
      <c r="R50" s="1"/>
      <c r="S50" s="1"/>
      <c r="T50" s="1"/>
    </row>
    <row r="51" spans="1:20" ht="15.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  <c r="L51" s="1"/>
      <c r="M51" s="1"/>
      <c r="N51" s="1"/>
      <c r="O51" s="1"/>
      <c r="P51" s="1"/>
      <c r="Q51" s="1"/>
      <c r="R51" s="1"/>
      <c r="S51" s="1"/>
      <c r="T51" s="1"/>
    </row>
    <row r="52" spans="1:20" ht="15.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1"/>
      <c r="M52" s="1"/>
      <c r="N52" s="1"/>
      <c r="O52" s="1"/>
      <c r="P52" s="1"/>
      <c r="Q52" s="1"/>
      <c r="R52" s="1"/>
      <c r="S52" s="1"/>
      <c r="T52" s="1"/>
    </row>
    <row r="53" spans="1:20" ht="15.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  <c r="L53" s="1"/>
      <c r="M53" s="1"/>
      <c r="N53" s="1"/>
      <c r="O53" s="1"/>
      <c r="P53" s="1"/>
      <c r="Q53" s="1"/>
      <c r="R53" s="1"/>
      <c r="S53" s="1"/>
      <c r="T53" s="1"/>
    </row>
    <row r="54" spans="1:20" ht="15.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1"/>
      <c r="M54" s="1"/>
      <c r="N54" s="1"/>
      <c r="O54" s="1"/>
      <c r="P54" s="1"/>
      <c r="Q54" s="1"/>
      <c r="R54" s="1"/>
      <c r="S54" s="1"/>
      <c r="T54" s="1"/>
    </row>
    <row r="55" spans="1:20" ht="15.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1"/>
      <c r="M55" s="1"/>
      <c r="N55" s="1"/>
      <c r="O55" s="1"/>
      <c r="P55" s="1"/>
      <c r="Q55" s="1"/>
      <c r="R55" s="1"/>
      <c r="S55" s="1"/>
      <c r="T55" s="1"/>
    </row>
    <row r="56" spans="1:20" ht="15.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  <c r="L56" s="1"/>
      <c r="M56" s="1"/>
      <c r="N56" s="1"/>
      <c r="O56" s="1"/>
      <c r="P56" s="1"/>
      <c r="Q56" s="1"/>
      <c r="R56" s="1"/>
      <c r="S56" s="1"/>
      <c r="T56" s="1"/>
    </row>
    <row r="57" spans="1:20" ht="15.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1"/>
      <c r="M57" s="1"/>
      <c r="N57" s="1"/>
      <c r="O57" s="1"/>
      <c r="P57" s="1"/>
      <c r="Q57" s="1"/>
      <c r="R57" s="1"/>
      <c r="S57" s="1"/>
      <c r="T57" s="1"/>
    </row>
    <row r="58" spans="1:20" ht="15.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1"/>
      <c r="M58" s="1"/>
      <c r="N58" s="1"/>
      <c r="O58" s="1"/>
      <c r="P58" s="1"/>
      <c r="Q58" s="1"/>
      <c r="R58" s="1"/>
      <c r="S58" s="1"/>
      <c r="T58" s="1"/>
    </row>
    <row r="59" spans="1:20" ht="15.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1"/>
      <c r="M59" s="1"/>
      <c r="N59" s="1"/>
      <c r="O59" s="1"/>
      <c r="P59" s="1"/>
      <c r="Q59" s="1"/>
      <c r="R59" s="1"/>
      <c r="S59" s="1"/>
      <c r="T59" s="1"/>
    </row>
    <row r="60" spans="1:20" ht="15.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1"/>
      <c r="M60" s="1"/>
      <c r="N60" s="1"/>
      <c r="O60" s="1"/>
      <c r="P60" s="1"/>
      <c r="Q60" s="1"/>
      <c r="R60" s="1"/>
      <c r="S60" s="1"/>
      <c r="T60" s="1"/>
    </row>
    <row r="61" spans="1:20" ht="15.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1"/>
      <c r="M61" s="1"/>
      <c r="N61" s="1"/>
      <c r="O61" s="1"/>
      <c r="P61" s="1"/>
      <c r="Q61" s="1"/>
      <c r="R61" s="1"/>
      <c r="S61" s="1"/>
      <c r="T61" s="1"/>
    </row>
    <row r="62" spans="1:20" ht="15.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1"/>
      <c r="M62" s="1"/>
      <c r="N62" s="1"/>
      <c r="O62" s="1"/>
      <c r="P62" s="1"/>
      <c r="Q62" s="1"/>
      <c r="R62" s="1"/>
      <c r="S62" s="1"/>
      <c r="T62" s="1"/>
    </row>
    <row r="63" spans="1:20" ht="15.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1"/>
      <c r="M63" s="1"/>
      <c r="N63" s="1"/>
      <c r="O63" s="1"/>
      <c r="P63" s="1"/>
      <c r="Q63" s="1"/>
      <c r="R63" s="1"/>
      <c r="S63" s="1"/>
      <c r="T63" s="1"/>
    </row>
    <row r="64" spans="1:20" ht="15.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1"/>
      <c r="M64" s="1"/>
      <c r="N64" s="1"/>
      <c r="O64" s="1"/>
      <c r="P64" s="1"/>
      <c r="Q64" s="1"/>
      <c r="R64" s="1"/>
      <c r="S64" s="1"/>
      <c r="T64" s="1"/>
    </row>
    <row r="65" spans="1:20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1"/>
      <c r="M65" s="1"/>
      <c r="N65" s="1"/>
      <c r="O65" s="1"/>
      <c r="P65" s="1"/>
      <c r="Q65" s="1"/>
      <c r="R65" s="1"/>
      <c r="S65" s="1"/>
      <c r="T65" s="1"/>
    </row>
    <row r="66" spans="1:20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1"/>
      <c r="M66" s="1"/>
      <c r="N66" s="1"/>
      <c r="O66" s="1"/>
      <c r="P66" s="1"/>
      <c r="Q66" s="1"/>
      <c r="R66" s="1"/>
      <c r="S66" s="1"/>
      <c r="T66" s="1"/>
    </row>
    <row r="67" spans="1:20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1"/>
      <c r="M67" s="1"/>
      <c r="N67" s="1"/>
      <c r="O67" s="1"/>
      <c r="P67" s="1"/>
      <c r="Q67" s="1"/>
      <c r="R67" s="1"/>
      <c r="S67" s="1"/>
      <c r="T67" s="1"/>
    </row>
    <row r="68" spans="1:20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1"/>
      <c r="M68" s="1"/>
      <c r="N68" s="1"/>
      <c r="O68" s="1"/>
      <c r="P68" s="1"/>
      <c r="Q68" s="1"/>
      <c r="R68" s="1"/>
      <c r="S68" s="1"/>
      <c r="T68" s="1"/>
    </row>
    <row r="69" spans="1:20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1"/>
      <c r="M69" s="1"/>
      <c r="N69" s="1"/>
      <c r="O69" s="1"/>
      <c r="P69" s="1"/>
      <c r="Q69" s="1"/>
      <c r="R69" s="1"/>
      <c r="S69" s="1"/>
      <c r="T69" s="1"/>
    </row>
    <row r="70" spans="1:20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1"/>
      <c r="M70" s="1"/>
      <c r="N70" s="1"/>
      <c r="O70" s="1"/>
      <c r="P70" s="1"/>
      <c r="Q70" s="1"/>
      <c r="R70" s="1"/>
      <c r="S70" s="1"/>
      <c r="T70" s="1"/>
    </row>
    <row r="71" spans="1:20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1"/>
      <c r="M71" s="1"/>
      <c r="N71" s="1"/>
      <c r="O71" s="1"/>
      <c r="P71" s="1"/>
      <c r="Q71" s="1"/>
      <c r="R71" s="1"/>
      <c r="S71" s="1"/>
      <c r="T71" s="1"/>
    </row>
    <row r="72" spans="1:20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1"/>
      <c r="M72" s="1"/>
      <c r="N72" s="1"/>
      <c r="O72" s="1"/>
      <c r="P72" s="1"/>
      <c r="Q72" s="1"/>
      <c r="R72" s="1"/>
      <c r="S72" s="1"/>
      <c r="T72" s="1"/>
    </row>
    <row r="73" spans="1:20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1"/>
      <c r="M73" s="1"/>
      <c r="N73" s="1"/>
      <c r="O73" s="1"/>
      <c r="P73" s="1"/>
      <c r="Q73" s="1"/>
      <c r="R73" s="1"/>
      <c r="S73" s="1"/>
      <c r="T73" s="1"/>
    </row>
    <row r="74" spans="1:20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1"/>
      <c r="M74" s="1"/>
      <c r="N74" s="1"/>
      <c r="O74" s="1"/>
      <c r="P74" s="1"/>
      <c r="Q74" s="1"/>
      <c r="R74" s="1"/>
      <c r="S74" s="1"/>
      <c r="T74" s="1"/>
    </row>
    <row r="75" spans="1:20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1"/>
      <c r="M75" s="1"/>
      <c r="N75" s="1"/>
      <c r="O75" s="1"/>
      <c r="P75" s="1"/>
      <c r="Q75" s="1"/>
      <c r="R75" s="1"/>
      <c r="S75" s="1"/>
      <c r="T75" s="1"/>
    </row>
    <row r="76" spans="1:20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1"/>
      <c r="M76" s="1"/>
      <c r="N76" s="1"/>
      <c r="O76" s="1"/>
      <c r="P76" s="1"/>
      <c r="Q76" s="1"/>
      <c r="R76" s="1"/>
      <c r="S76" s="1"/>
      <c r="T76" s="1"/>
    </row>
    <row r="77" spans="1:20" ht="15.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1"/>
      <c r="M77" s="1"/>
      <c r="N77" s="1"/>
      <c r="O77" s="1"/>
      <c r="P77" s="1"/>
      <c r="Q77" s="1"/>
      <c r="R77" s="1"/>
      <c r="S77" s="1"/>
      <c r="T77" s="1"/>
    </row>
    <row r="78" spans="1:20" ht="15.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1"/>
      <c r="M78" s="1"/>
      <c r="N78" s="1"/>
      <c r="O78" s="1"/>
      <c r="P78" s="1"/>
      <c r="Q78" s="1"/>
      <c r="R78" s="1"/>
      <c r="S78" s="1"/>
      <c r="T78" s="1"/>
    </row>
    <row r="79" spans="1:20" ht="15.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</row>
    <row r="80" spans="1:20" ht="15.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</row>
    <row r="81" spans="1:20" ht="15.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</row>
    <row r="82" spans="1:20" ht="15.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1"/>
      <c r="M82" s="1"/>
      <c r="N82" s="1"/>
      <c r="O82" s="1"/>
      <c r="P82" s="1"/>
      <c r="Q82" s="1"/>
      <c r="R82" s="1"/>
      <c r="S82" s="1"/>
      <c r="T82" s="1"/>
    </row>
    <row r="83" spans="1:20" ht="15.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1"/>
      <c r="M83" s="1"/>
      <c r="N83" s="1"/>
      <c r="O83" s="1"/>
      <c r="P83" s="1"/>
      <c r="Q83" s="1"/>
      <c r="R83" s="1"/>
      <c r="S83" s="1"/>
      <c r="T83" s="1"/>
    </row>
    <row r="84" spans="1:20" ht="15.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1"/>
      <c r="M84" s="1"/>
      <c r="N84" s="1"/>
      <c r="O84" s="1"/>
      <c r="P84" s="1"/>
      <c r="Q84" s="1"/>
      <c r="R84" s="1"/>
      <c r="S84" s="1"/>
      <c r="T84" s="1"/>
    </row>
    <row r="85" spans="1:20" ht="15.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1"/>
      <c r="M85" s="1"/>
      <c r="N85" s="1"/>
      <c r="O85" s="1"/>
      <c r="P85" s="1"/>
      <c r="Q85" s="1"/>
      <c r="R85" s="1"/>
      <c r="S85" s="1"/>
      <c r="T85" s="1"/>
    </row>
    <row r="86" spans="1:20" ht="15.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1"/>
      <c r="M86" s="1"/>
      <c r="N86" s="1"/>
      <c r="O86" s="1"/>
      <c r="P86" s="1"/>
      <c r="Q86" s="1"/>
      <c r="R86" s="1"/>
      <c r="S86" s="1"/>
      <c r="T86" s="1"/>
    </row>
    <row r="87" spans="1:20" ht="15.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1"/>
      <c r="M87" s="1"/>
      <c r="N87" s="1"/>
      <c r="O87" s="1"/>
      <c r="P87" s="1"/>
      <c r="Q87" s="1"/>
      <c r="R87" s="1"/>
      <c r="S87" s="1"/>
      <c r="T87" s="1"/>
    </row>
    <row r="88" spans="1:20" ht="15.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1"/>
      <c r="M88" s="1"/>
      <c r="N88" s="1"/>
      <c r="O88" s="1"/>
      <c r="P88" s="1"/>
      <c r="Q88" s="1"/>
      <c r="R88" s="1"/>
      <c r="S88" s="1"/>
      <c r="T88" s="1"/>
    </row>
    <row r="89" spans="1:20" ht="15.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1"/>
      <c r="M89" s="1"/>
      <c r="N89" s="1"/>
      <c r="O89" s="1"/>
      <c r="P89" s="1"/>
      <c r="Q89" s="1"/>
      <c r="R89" s="1"/>
      <c r="S89" s="1"/>
      <c r="T89" s="1"/>
    </row>
    <row r="90" spans="1:20" ht="15.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1"/>
      <c r="M90" s="1"/>
      <c r="N90" s="1"/>
      <c r="O90" s="1"/>
      <c r="P90" s="1"/>
      <c r="Q90" s="1"/>
      <c r="R90" s="1"/>
      <c r="S90" s="1"/>
      <c r="T90" s="1"/>
    </row>
    <row r="91" spans="1:20" ht="15.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</row>
    <row r="92" spans="1:20" ht="15.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1"/>
      <c r="M92" s="1"/>
      <c r="N92" s="1"/>
      <c r="O92" s="1"/>
      <c r="P92" s="1"/>
      <c r="Q92" s="1"/>
      <c r="R92" s="1"/>
      <c r="S92" s="1"/>
      <c r="T92" s="1"/>
    </row>
    <row r="93" spans="1:20" ht="15.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1"/>
      <c r="M93" s="1"/>
      <c r="N93" s="1"/>
      <c r="O93" s="1"/>
      <c r="P93" s="1"/>
      <c r="Q93" s="1"/>
      <c r="R93" s="1"/>
      <c r="S93" s="1"/>
      <c r="T93" s="1"/>
    </row>
    <row r="94" spans="1:20" ht="15.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1"/>
      <c r="M94" s="1"/>
      <c r="N94" s="1"/>
      <c r="O94" s="1"/>
      <c r="P94" s="1"/>
      <c r="Q94" s="1"/>
      <c r="R94" s="1"/>
      <c r="S94" s="1"/>
      <c r="T94" s="1"/>
    </row>
    <row r="95" spans="1:20" ht="15.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1"/>
      <c r="M95" s="1"/>
      <c r="N95" s="1"/>
      <c r="O95" s="1"/>
      <c r="P95" s="1"/>
      <c r="Q95" s="1"/>
      <c r="R95" s="1"/>
      <c r="S95" s="1"/>
      <c r="T95" s="1"/>
    </row>
    <row r="96" spans="1:20" ht="15.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1"/>
      <c r="M96" s="1"/>
      <c r="N96" s="1"/>
      <c r="O96" s="1"/>
      <c r="P96" s="1"/>
      <c r="Q96" s="1"/>
      <c r="R96" s="1"/>
      <c r="S96" s="1"/>
      <c r="T96" s="1"/>
    </row>
    <row r="97" spans="1:20" ht="15.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1"/>
      <c r="M97" s="1"/>
      <c r="N97" s="1"/>
      <c r="O97" s="1"/>
      <c r="P97" s="1"/>
      <c r="Q97" s="1"/>
      <c r="R97" s="1"/>
      <c r="S97" s="1"/>
      <c r="T97" s="1"/>
    </row>
    <row r="98" spans="1:20" ht="15.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1"/>
      <c r="M98" s="1"/>
      <c r="N98" s="1"/>
      <c r="O98" s="1"/>
      <c r="P98" s="1"/>
      <c r="Q98" s="1"/>
      <c r="R98" s="1"/>
      <c r="S98" s="1"/>
      <c r="T98" s="1"/>
    </row>
    <row r="99" spans="1:20" ht="15.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1"/>
      <c r="M99" s="1"/>
      <c r="N99" s="1"/>
      <c r="O99" s="1"/>
      <c r="P99" s="1"/>
      <c r="Q99" s="1"/>
      <c r="R99" s="1"/>
      <c r="S99" s="1"/>
      <c r="T99" s="1"/>
    </row>
    <row r="100" spans="1:20" ht="15.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.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.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.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.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.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.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.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.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.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.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.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.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.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.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.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.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.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.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.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.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.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.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.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.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.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.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.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.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.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.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.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.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.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.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.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.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.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.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.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.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.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.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.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.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.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.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.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.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.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.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.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.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.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.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.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.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.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.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.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.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.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.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.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.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.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.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.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.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.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.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.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.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.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.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.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.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.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.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.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.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.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.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.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.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.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.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.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.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.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.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.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.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.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.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.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.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.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.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.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.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.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.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.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.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.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.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.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.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.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.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.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.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.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.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.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.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.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.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.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.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.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.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.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.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.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.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.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.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.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.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.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.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.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.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.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.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.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.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.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.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.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.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.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.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.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.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.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.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.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.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.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.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.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.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.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.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.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.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.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.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.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.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.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.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.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.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.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.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.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.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.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.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.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.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.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.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.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.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.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.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.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.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.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.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.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.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.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.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.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.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.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.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.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.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.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.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.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.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.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.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.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.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.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.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.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.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.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.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.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.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.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.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.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.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.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.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.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.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.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.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.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.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.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.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.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.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.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.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.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.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.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.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.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.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.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.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.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.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.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.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.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.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.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.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.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.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.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.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.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.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.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.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.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.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.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.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.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.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.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.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.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.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.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.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.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.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.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.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.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.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.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.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.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.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.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.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.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.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.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.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.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.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.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.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.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.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.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.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.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.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.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.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.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.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.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.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.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.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.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.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.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.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.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.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.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.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.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.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.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.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.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.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.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.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.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.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.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.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.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.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.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.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.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.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.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.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.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.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.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.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.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.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.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.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.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.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.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.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.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.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.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.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.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.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.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.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.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.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.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.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.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.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.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.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.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.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.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.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.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.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.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.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.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.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.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.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.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.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.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.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.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.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.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.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.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.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.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.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.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.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.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.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.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.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.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.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.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.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.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.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.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.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.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.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.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.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.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.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.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.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.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.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.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.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.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.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.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.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.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.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.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.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.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.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.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.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.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.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.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.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.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.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.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.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.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.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.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.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.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.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.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.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.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.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.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.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.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.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.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.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.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.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.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.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.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.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.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.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.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.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.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.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.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.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.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.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.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.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.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.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.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.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.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.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.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.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.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.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.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.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.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.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.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.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.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.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.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.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.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.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.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.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.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.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.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.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.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.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.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.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.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.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.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.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.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.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.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.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.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.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.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.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.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.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.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.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.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.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.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.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.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.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.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.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.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.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.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.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.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.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.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.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.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.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.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.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.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.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.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.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.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.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.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.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.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.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.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.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.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.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.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.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.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.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.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.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.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.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.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.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.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.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.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.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.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.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.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.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.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.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.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.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.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.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.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.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.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.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.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.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.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.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.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.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.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.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.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.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.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.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.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.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.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.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.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.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.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.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.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.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.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.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.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.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.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.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.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.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.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.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.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.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.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.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.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.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.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.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.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.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.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.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.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.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.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.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.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.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.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.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.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.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.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.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.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.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.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.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.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.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.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.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.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.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.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.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.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.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.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.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.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.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.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.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5.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5.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5.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5.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5.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5.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5.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5.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5.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5.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5.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5.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5.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5.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5.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5.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5.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5.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5.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5.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5.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5.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5.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5.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5.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5.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5.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5.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5.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5.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5.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5.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5.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5.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5.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5.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5.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5.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5.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5.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5.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5.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5.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5.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5.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5.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5.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5.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5.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5.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5.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5.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5.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5.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5.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5.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5.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5.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5.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5.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5.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5.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5.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5.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5.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5.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5.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5.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5.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5.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5.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5.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5.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5.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5.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5.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5.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5.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5.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5.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5.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5.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5.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5.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5.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5.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5.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5.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5.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5.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5.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5.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5.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5.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5.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5.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5.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5.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5.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5.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5.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5.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5.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5.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5.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5.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5.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5.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5.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5.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5.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5.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5.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5.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5.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5.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5.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5.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5.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5.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5.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5.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5.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5.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5.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5.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5.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5.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5.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5.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5.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5.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5.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5.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5.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5.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5.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5.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5.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5.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5.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5.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5.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5.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5.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5.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5.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5.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5.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5.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5.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5.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5.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5.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5.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5.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5.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5.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5.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5.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5.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5.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5.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5.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5.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5.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5.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5.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5.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5.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5.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5.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5.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5.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5.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5.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5.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5.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5.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5.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5.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5.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5.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5.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5.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5.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5.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5.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5.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5.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5.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5.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5.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1"/>
      <c r="M983" s="1"/>
      <c r="N983" s="1"/>
      <c r="O983" s="1"/>
      <c r="P983" s="1"/>
      <c r="Q983" s="1"/>
      <c r="R983" s="1"/>
      <c r="S983" s="1"/>
      <c r="T983" s="1"/>
    </row>
  </sheetData>
  <mergeCells count="1">
    <mergeCell ref="I8:K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Crossings 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Lejbowicz</dc:creator>
  <cp:lastModifiedBy>Charmaine Lane</cp:lastModifiedBy>
  <dcterms:created xsi:type="dcterms:W3CDTF">1998-01-27T14:56:36Z</dcterms:created>
  <dcterms:modified xsi:type="dcterms:W3CDTF">2026-09-25T21:17:14Z</dcterms:modified>
</cp:coreProperties>
</file>