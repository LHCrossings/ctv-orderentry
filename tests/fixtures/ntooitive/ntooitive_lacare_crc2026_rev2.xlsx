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ossingstv0-my.sharepoint.com/personal/charmaine_lane_crossingstv_com/Documents/"/>
    </mc:Choice>
  </mc:AlternateContent>
  <xr:revisionPtr revIDLastSave="49" documentId="8_{F315A18A-6643-41A8-9345-4E04D9DF84D6}" xr6:coauthVersionLast="47" xr6:coauthVersionMax="47" xr10:uidLastSave="{8C1CA455-299C-4B53-A570-ED1D600957B8}"/>
  <bookViews>
    <workbookView xWindow="-108" yWindow="-108" windowWidth="23256" windowHeight="12456" xr2:uid="{2B2AA11A-4AA6-480E-BD06-65C6CC076FBC}"/>
  </bookViews>
  <sheets>
    <sheet name="Option 1" sheetId="1" r:id="rId1"/>
    <sheet name="Option 2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1" l="1"/>
  <c r="K24" i="1"/>
  <c r="J23" i="1"/>
  <c r="J24" i="1"/>
  <c r="I23" i="1"/>
  <c r="I24" i="1"/>
  <c r="T18" i="1"/>
  <c r="E14" i="1"/>
  <c r="P23" i="1"/>
  <c r="Q23" i="1"/>
  <c r="R23" i="1"/>
  <c r="S23" i="1"/>
  <c r="T23" i="1"/>
  <c r="P24" i="1"/>
  <c r="Q24" i="1"/>
  <c r="R24" i="1"/>
  <c r="S24" i="1"/>
  <c r="T24" i="1"/>
  <c r="G24" i="2" l="1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F24" i="2"/>
  <c r="F23" i="1"/>
  <c r="H32" i="2"/>
  <c r="H31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AF22" i="2"/>
  <c r="AC22" i="2"/>
  <c r="AE22" i="2" s="1"/>
  <c r="AF21" i="2"/>
  <c r="AC21" i="2"/>
  <c r="AE21" i="2" s="1"/>
  <c r="AC20" i="2"/>
  <c r="AE20" i="2" s="1"/>
  <c r="AC19" i="2"/>
  <c r="AE19" i="2" s="1"/>
  <c r="G18" i="2"/>
  <c r="H18" i="2" s="1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23" i="2" l="1"/>
  <c r="G32" i="2"/>
  <c r="I32" i="2" s="1"/>
  <c r="AC24" i="2"/>
  <c r="AE23" i="2"/>
  <c r="E13" i="2" s="1"/>
  <c r="AF19" i="2"/>
  <c r="E31" i="2"/>
  <c r="E32" i="2"/>
  <c r="F32" i="2" s="1"/>
  <c r="AF20" i="2"/>
  <c r="G31" i="2"/>
  <c r="I31" i="2" s="1"/>
  <c r="AF23" i="2" l="1"/>
  <c r="E33" i="2"/>
  <c r="F31" i="2"/>
  <c r="F33" i="2" s="1"/>
  <c r="G23" i="1" l="1"/>
  <c r="H23" i="1"/>
  <c r="L23" i="1"/>
  <c r="M23" i="1"/>
  <c r="N23" i="1"/>
  <c r="O23" i="1"/>
  <c r="G24" i="1"/>
  <c r="H24" i="1"/>
  <c r="L24" i="1"/>
  <c r="M24" i="1"/>
  <c r="N24" i="1"/>
  <c r="O24" i="1"/>
  <c r="F24" i="1"/>
  <c r="U20" i="1"/>
  <c r="W20" i="1" s="1"/>
  <c r="U21" i="1"/>
  <c r="U22" i="1"/>
  <c r="U19" i="1"/>
  <c r="F36" i="1"/>
  <c r="F35" i="1"/>
  <c r="H34" i="1"/>
  <c r="H33" i="1"/>
  <c r="X20" i="1" l="1"/>
  <c r="E34" i="1"/>
  <c r="W19" i="1"/>
  <c r="E33" i="1" s="1"/>
  <c r="G33" i="1"/>
  <c r="U23" i="1"/>
  <c r="X22" i="1"/>
  <c r="W22" i="1"/>
  <c r="W23" i="1" l="1"/>
  <c r="E13" i="1" s="1"/>
  <c r="E15" i="1" s="1"/>
  <c r="X19" i="1"/>
  <c r="G18" i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I33" i="1"/>
  <c r="G34" i="1" l="1"/>
  <c r="I34" i="1" s="1"/>
  <c r="U24" i="1"/>
  <c r="X21" i="1"/>
  <c r="F34" i="1" l="1"/>
  <c r="W21" i="1"/>
  <c r="X23" i="1" l="1"/>
  <c r="E37" i="1" l="1"/>
  <c r="F33" i="1"/>
  <c r="F37" i="1" s="1"/>
</calcChain>
</file>

<file path=xl/sharedStrings.xml><?xml version="1.0" encoding="utf-8"?>
<sst xmlns="http://schemas.openxmlformats.org/spreadsheetml/2006/main" count="163" uniqueCount="84">
  <si>
    <t xml:space="preserve">AIRTIME SUMMARY: </t>
  </si>
  <si>
    <t>COM</t>
  </si>
  <si>
    <t>Total Unit #</t>
  </si>
  <si>
    <t>Spot Type</t>
  </si>
  <si>
    <t>Day Part/
Program</t>
  </si>
  <si>
    <t>Language Block</t>
  </si>
  <si>
    <t>Market:</t>
  </si>
  <si>
    <t>Broadcast</t>
  </si>
  <si>
    <t>Advertiser:</t>
  </si>
  <si>
    <t xml:space="preserve">Address: </t>
  </si>
  <si>
    <t>Other Agencies on the team (if any):</t>
  </si>
  <si>
    <t>Phone:</t>
  </si>
  <si>
    <t xml:space="preserve">Media Buying Agency 
(if any): </t>
  </si>
  <si>
    <t>Email:</t>
  </si>
  <si>
    <t xml:space="preserve">Contact: </t>
  </si>
  <si>
    <t xml:space="preserve">Submitted by: </t>
  </si>
  <si>
    <t>AE Email</t>
  </si>
  <si>
    <t xml:space="preserve">Promo Unit Cost (Gross) </t>
  </si>
  <si>
    <t>Line Total Cost (Gross)</t>
  </si>
  <si>
    <t>TBD</t>
  </si>
  <si>
    <t>Crossings TV Media Proposal</t>
  </si>
  <si>
    <t>Charmaine Lane</t>
  </si>
  <si>
    <t>Charmaine.Lane@crossingstv.com</t>
  </si>
  <si>
    <t>n/a</t>
  </si>
  <si>
    <t>Billing Cycle</t>
  </si>
  <si>
    <t>California-Los Angeles Spectrum 1519</t>
  </si>
  <si>
    <t>Flight schedule</t>
  </si>
  <si>
    <t>Los Angeles ( Sepctrum 1519)</t>
  </si>
  <si>
    <t>BONUS</t>
  </si>
  <si>
    <t>Asian Groups</t>
  </si>
  <si>
    <t>Estimated Impressions</t>
  </si>
  <si>
    <t>Ntooitive</t>
  </si>
  <si>
    <t>tbd</t>
  </si>
  <si>
    <t>laura.searcy@ntooitive.com</t>
  </si>
  <si>
    <t>Laura Searcy</t>
  </si>
  <si>
    <t>Line Total Cost (NET)</t>
  </si>
  <si>
    <t>Total BONUS UNITS</t>
  </si>
  <si>
    <t>Total    PAID</t>
  </si>
  <si>
    <t>*ROS- spots will air in the various programs where language occurs</t>
  </si>
  <si>
    <t>Thank you and Looking forward to our partnership.</t>
  </si>
  <si>
    <t>Total Paid</t>
  </si>
  <si>
    <t>Total Bonuses</t>
  </si>
  <si>
    <t>Chinese (Mandarin)</t>
  </si>
  <si>
    <t>Length</t>
  </si>
  <si>
    <t>:30s</t>
  </si>
  <si>
    <t xml:space="preserve">Gross Investment </t>
  </si>
  <si>
    <t>Product</t>
  </si>
  <si>
    <t>Net investment</t>
  </si>
  <si>
    <t>Total Spots (Paid+Bonus)</t>
  </si>
  <si>
    <t>Contract Amount</t>
  </si>
  <si>
    <t xml:space="preserve">L.A. Care- CRC </t>
  </si>
  <si>
    <t>Korean News</t>
  </si>
  <si>
    <t>M- F 8a-9a</t>
  </si>
  <si>
    <t>Korean</t>
  </si>
  <si>
    <t>Airtime</t>
  </si>
  <si>
    <t>Trranslation services (VO) 30seconds</t>
  </si>
  <si>
    <t>Added Value of Partnership</t>
  </si>
  <si>
    <t xml:space="preserve">*Length of interview:   90seconds in length </t>
  </si>
  <si>
    <t xml:space="preserve">*It will air 3x on Crossings TV in Los Angeles on Spectrum 1519.  TBD airtime </t>
  </si>
  <si>
    <t>Korean ROS</t>
  </si>
  <si>
    <t>Chinese</t>
  </si>
  <si>
    <t>Chinese ROS</t>
  </si>
  <si>
    <t>Translation Services</t>
  </si>
  <si>
    <t>Gross (Airtime)</t>
  </si>
  <si>
    <t>6/29 -11/30</t>
  </si>
  <si>
    <t>Date Proposed:</t>
  </si>
  <si>
    <t>6/29 through 11/30</t>
  </si>
  <si>
    <t>Retail value: $2,125 per interview</t>
  </si>
  <si>
    <t>*L.A. Care can choose from one of the following languages- Mandarin, Cantonese or  Korean</t>
  </si>
  <si>
    <t>*Crossings TV  will provide  (1) in-language interview opportunity for LA Care via Zoom</t>
  </si>
  <si>
    <t>Gross Amount of Contract</t>
  </si>
  <si>
    <t>Option 2 - No translations- Using current TVC</t>
  </si>
  <si>
    <t>Chinese (Mandarin &amp;Cantonese)</t>
  </si>
  <si>
    <t>Mandarin News</t>
  </si>
  <si>
    <t>M-F 8p-9p</t>
  </si>
  <si>
    <t>M-F 6a-7a &amp; 8p-9p</t>
  </si>
  <si>
    <t xml:space="preserve">Mandarin </t>
  </si>
  <si>
    <t xml:space="preserve">REVISED </t>
  </si>
  <si>
    <t>*Translation fee: 30seconds  TV spot in Mandarin, &amp; Korean</t>
  </si>
  <si>
    <t xml:space="preserve">Mandarin,  Korean :30seconds </t>
  </si>
  <si>
    <t>CRC CAMPAIGN</t>
  </si>
  <si>
    <t>Gross Translation Fees (:30s Mandarin/Korean</t>
  </si>
  <si>
    <t>8/18 through 11/30</t>
  </si>
  <si>
    <t>8/18 -11/30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</si>
</sst>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u/>
      <sz val="14"/>
      <name val="Calibri"/>
      <family val="2"/>
      <scheme val="minor"/>
    </font>
    <font>
      <sz val="14"/>
      <name val="Calibri"/>
      <family val="2"/>
      <scheme val="minor"/>
    </font>
    <font>
      <sz val="12"/>
      <color rgb="FF262626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FF0000"/>
      <name val="Calibri"/>
      <family val="2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Aptos Narrow"/>
      <family val="2"/>
    </font>
    <font>
      <b/>
      <sz val="14"/>
      <color theme="1"/>
      <name val="Aptos Narrow"/>
      <family val="2"/>
    </font>
    <font>
      <sz val="14"/>
      <name val="Aptos Narrow"/>
      <family val="2"/>
    </font>
    <font>
      <u/>
      <sz val="14"/>
      <name val="Aptos Narrow"/>
      <family val="2"/>
    </font>
    <font>
      <sz val="12"/>
      <color rgb="FF262626"/>
      <name val="Aptos Narrow"/>
      <family val="2"/>
    </font>
    <font>
      <b/>
      <sz val="14"/>
      <color rgb="FFFF0000"/>
      <name val="Aptos Narrow"/>
      <family val="2"/>
    </font>
    <font>
      <b/>
      <i/>
      <sz val="14"/>
      <color rgb="FFFF0000"/>
      <name val="Aptos Narrow"/>
      <family val="2"/>
    </font>
    <font>
      <sz val="20"/>
      <color theme="1"/>
      <name val="Aptos Narrow"/>
      <family val="2"/>
    </font>
    <font>
      <b/>
      <sz val="20"/>
      <color theme="1"/>
      <name val="Aptos Narrow"/>
      <family val="2"/>
    </font>
    <font>
      <b/>
      <i/>
      <sz val="14"/>
      <color theme="1"/>
      <name val="Aptos Narrow"/>
      <family val="2"/>
    </font>
    <font>
      <sz val="11"/>
      <color theme="1"/>
      <name val="Aptos Narrow"/>
      <family val="2"/>
    </font>
    <font>
      <i/>
      <sz val="14"/>
      <color rgb="FFFF0000"/>
      <name val="Aptos Narrow"/>
      <family val="2"/>
    </font>
    <font>
      <i/>
      <sz val="14"/>
      <color theme="1"/>
      <name val="Aptos Narrow"/>
      <family val="2"/>
    </font>
    <font>
      <sz val="18"/>
      <color theme="1"/>
      <name val="Aptos Narrow"/>
      <family val="2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C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50">
    <xf numFmtId="0" fontId="0" fillId="0" borderId="0" xfId="0"/>
    <xf numFmtId="0" fontId="7" fillId="0" borderId="0" xfId="0" applyFont="1"/>
    <xf numFmtId="0" fontId="7" fillId="0" borderId="3" xfId="0" applyFont="1" applyBorder="1" applyAlignment="1">
      <alignment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center"/>
    </xf>
    <xf numFmtId="0" fontId="7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wrapText="1"/>
    </xf>
    <xf numFmtId="0" fontId="5" fillId="0" borderId="3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44" fontId="7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3" borderId="0" xfId="0" applyFont="1" applyFill="1" applyAlignment="1">
      <alignment horizontal="left" wrapText="1"/>
    </xf>
    <xf numFmtId="0" fontId="2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wrapText="1"/>
    </xf>
    <xf numFmtId="0" fontId="7" fillId="4" borderId="0" xfId="0" applyFont="1" applyFill="1"/>
    <xf numFmtId="0" fontId="2" fillId="0" borderId="0" xfId="0" applyFont="1" applyAlignment="1">
      <alignment horizontal="left" vertical="center"/>
    </xf>
    <xf numFmtId="0" fontId="5" fillId="5" borderId="3" xfId="0" applyFont="1" applyFill="1" applyBorder="1" applyAlignment="1">
      <alignment horizontal="center" wrapText="1"/>
    </xf>
    <xf numFmtId="14" fontId="5" fillId="5" borderId="3" xfId="0" applyNumberFormat="1" applyFont="1" applyFill="1" applyBorder="1" applyAlignment="1">
      <alignment horizontal="center" wrapText="1"/>
    </xf>
    <xf numFmtId="1" fontId="5" fillId="5" borderId="3" xfId="0" applyNumberFormat="1" applyFont="1" applyFill="1" applyBorder="1" applyAlignment="1">
      <alignment horizontal="center" wrapText="1"/>
    </xf>
    <xf numFmtId="44" fontId="5" fillId="5" borderId="3" xfId="1" applyFont="1" applyFill="1" applyBorder="1" applyAlignment="1">
      <alignment horizontal="center" wrapText="1"/>
    </xf>
    <xf numFmtId="44" fontId="6" fillId="5" borderId="3" xfId="1" applyFont="1" applyFill="1" applyBorder="1" applyAlignment="1">
      <alignment horizontal="center" wrapText="1"/>
    </xf>
    <xf numFmtId="44" fontId="7" fillId="0" borderId="0" xfId="1" applyFont="1" applyBorder="1" applyAlignment="1">
      <alignment horizontal="center" vertical="center" wrapText="1"/>
    </xf>
    <xf numFmtId="44" fontId="7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vertical="top"/>
    </xf>
    <xf numFmtId="16" fontId="5" fillId="0" borderId="3" xfId="0" applyNumberFormat="1" applyFont="1" applyBorder="1" applyAlignment="1">
      <alignment horizont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/>
    </xf>
    <xf numFmtId="0" fontId="6" fillId="3" borderId="0" xfId="0" applyFont="1" applyFill="1"/>
    <xf numFmtId="0" fontId="5" fillId="3" borderId="4" xfId="0" applyFont="1" applyFill="1" applyBorder="1" applyAlignment="1">
      <alignment wrapText="1"/>
    </xf>
    <xf numFmtId="0" fontId="7" fillId="3" borderId="0" xfId="0" applyFont="1" applyFill="1"/>
    <xf numFmtId="0" fontId="5" fillId="3" borderId="0" xfId="0" applyFont="1" applyFill="1" applyAlignment="1">
      <alignment wrapText="1"/>
    </xf>
    <xf numFmtId="1" fontId="5" fillId="6" borderId="3" xfId="0" applyNumberFormat="1" applyFont="1" applyFill="1" applyBorder="1" applyAlignment="1">
      <alignment horizontal="center" wrapText="1"/>
    </xf>
    <xf numFmtId="0" fontId="5" fillId="6" borderId="5" xfId="1" applyNumberFormat="1" applyFont="1" applyFill="1" applyBorder="1" applyAlignment="1">
      <alignment vertical="center" wrapText="1"/>
    </xf>
    <xf numFmtId="0" fontId="5" fillId="6" borderId="6" xfId="1" applyNumberFormat="1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center"/>
    </xf>
    <xf numFmtId="0" fontId="6" fillId="0" borderId="0" xfId="0" applyFont="1" applyAlignment="1">
      <alignment horizontal="right" wrapText="1"/>
    </xf>
    <xf numFmtId="0" fontId="5" fillId="0" borderId="0" xfId="0" applyFont="1" applyAlignment="1">
      <alignment horizontal="center" wrapText="1"/>
    </xf>
    <xf numFmtId="0" fontId="5" fillId="0" borderId="0" xfId="1" applyNumberFormat="1" applyFont="1" applyFill="1" applyBorder="1" applyAlignment="1">
      <alignment vertical="center" wrapText="1"/>
    </xf>
    <xf numFmtId="44" fontId="6" fillId="0" borderId="0" xfId="1" applyFont="1" applyFill="1" applyBorder="1" applyAlignment="1">
      <alignment horizontal="center" vertical="center" wrapText="1"/>
    </xf>
    <xf numFmtId="44" fontId="7" fillId="0" borderId="3" xfId="1" applyFont="1" applyBorder="1" applyAlignment="1">
      <alignment horizontal="center" vertical="center" wrapText="1"/>
    </xf>
    <xf numFmtId="44" fontId="7" fillId="0" borderId="3" xfId="0" applyNumberFormat="1" applyFont="1" applyBorder="1" applyAlignment="1">
      <alignment horizontal="center" wrapText="1"/>
    </xf>
    <xf numFmtId="44" fontId="7" fillId="0" borderId="3" xfId="1" applyFont="1" applyBorder="1" applyAlignment="1">
      <alignment horizontal="center"/>
    </xf>
    <xf numFmtId="44" fontId="2" fillId="4" borderId="3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 wrapText="1"/>
    </xf>
    <xf numFmtId="1" fontId="7" fillId="0" borderId="0" xfId="0" applyNumberFormat="1" applyFont="1"/>
    <xf numFmtId="0" fontId="2" fillId="3" borderId="0" xfId="0" applyFont="1" applyFill="1" applyAlignment="1">
      <alignment horizontal="left" vertical="center" wrapText="1"/>
    </xf>
    <xf numFmtId="3" fontId="0" fillId="0" borderId="0" xfId="0" applyNumberFormat="1"/>
    <xf numFmtId="0" fontId="13" fillId="8" borderId="0" xfId="0" applyFont="1" applyFill="1"/>
    <xf numFmtId="0" fontId="14" fillId="8" borderId="0" xfId="0" applyFont="1" applyFill="1"/>
    <xf numFmtId="0" fontId="13" fillId="0" borderId="0" xfId="0" applyFont="1"/>
    <xf numFmtId="0" fontId="13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1" fontId="7" fillId="0" borderId="3" xfId="1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44" fontId="5" fillId="0" borderId="3" xfId="1" applyFont="1" applyFill="1" applyBorder="1" applyAlignment="1">
      <alignment horizontal="center" wrapText="1"/>
    </xf>
    <xf numFmtId="44" fontId="6" fillId="0" borderId="3" xfId="1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44" fontId="5" fillId="0" borderId="5" xfId="1" applyFont="1" applyFill="1" applyBorder="1" applyAlignment="1">
      <alignment horizontal="center" wrapText="1"/>
    </xf>
    <xf numFmtId="3" fontId="16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left" vertical="center"/>
    </xf>
    <xf numFmtId="0" fontId="19" fillId="2" borderId="3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0" xfId="0" applyFont="1" applyAlignment="1">
      <alignment horizontal="left" wrapText="1"/>
    </xf>
    <xf numFmtId="0" fontId="24" fillId="0" borderId="0" xfId="0" applyFont="1" applyAlignment="1">
      <alignment horizontal="right" vertical="top" wrapText="1"/>
    </xf>
    <xf numFmtId="44" fontId="24" fillId="0" borderId="0" xfId="0" applyNumberFormat="1" applyFont="1" applyAlignment="1">
      <alignment horizontal="center" vertical="top"/>
    </xf>
    <xf numFmtId="0" fontId="20" fillId="3" borderId="0" xfId="0" applyFont="1" applyFill="1"/>
    <xf numFmtId="0" fontId="19" fillId="3" borderId="0" xfId="0" applyFont="1" applyFill="1" applyAlignment="1">
      <alignment horizontal="left" wrapText="1"/>
    </xf>
    <xf numFmtId="0" fontId="19" fillId="3" borderId="4" xfId="0" applyFont="1" applyFill="1" applyBorder="1" applyAlignment="1">
      <alignment wrapText="1"/>
    </xf>
    <xf numFmtId="0" fontId="19" fillId="3" borderId="0" xfId="0" applyFont="1" applyFill="1" applyAlignment="1">
      <alignment wrapText="1"/>
    </xf>
    <xf numFmtId="0" fontId="19" fillId="3" borderId="0" xfId="0" applyFont="1" applyFill="1"/>
    <xf numFmtId="0" fontId="19" fillId="0" borderId="3" xfId="0" applyFont="1" applyBorder="1" applyAlignment="1">
      <alignment horizontal="center" wrapText="1"/>
    </xf>
    <xf numFmtId="16" fontId="19" fillId="0" borderId="3" xfId="0" applyNumberFormat="1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20" fillId="0" borderId="3" xfId="0" applyFont="1" applyBorder="1" applyAlignment="1">
      <alignment horizontal="left" wrapText="1"/>
    </xf>
    <xf numFmtId="0" fontId="19" fillId="5" borderId="3" xfId="0" applyFont="1" applyFill="1" applyBorder="1" applyAlignment="1">
      <alignment horizontal="center" wrapText="1"/>
    </xf>
    <xf numFmtId="14" fontId="19" fillId="5" borderId="3" xfId="0" applyNumberFormat="1" applyFont="1" applyFill="1" applyBorder="1" applyAlignment="1">
      <alignment horizontal="center" wrapText="1"/>
    </xf>
    <xf numFmtId="0" fontId="19" fillId="5" borderId="3" xfId="0" applyFont="1" applyFill="1" applyBorder="1" applyAlignment="1">
      <alignment horizontal="center"/>
    </xf>
    <xf numFmtId="1" fontId="19" fillId="5" borderId="3" xfId="0" applyNumberFormat="1" applyFont="1" applyFill="1" applyBorder="1" applyAlignment="1">
      <alignment horizontal="center" wrapText="1"/>
    </xf>
    <xf numFmtId="44" fontId="19" fillId="5" borderId="3" xfId="1" applyFont="1" applyFill="1" applyBorder="1" applyAlignment="1">
      <alignment horizontal="center" wrapText="1"/>
    </xf>
    <xf numFmtId="44" fontId="20" fillId="5" borderId="3" xfId="1" applyFont="1" applyFill="1" applyBorder="1" applyAlignment="1">
      <alignment horizontal="center" wrapText="1"/>
    </xf>
    <xf numFmtId="0" fontId="19" fillId="4" borderId="0" xfId="0" applyFont="1" applyFill="1"/>
    <xf numFmtId="14" fontId="19" fillId="0" borderId="3" xfId="0" applyNumberFormat="1" applyFont="1" applyBorder="1" applyAlignment="1">
      <alignment horizontal="center" wrapText="1"/>
    </xf>
    <xf numFmtId="0" fontId="19" fillId="0" borderId="3" xfId="0" applyFont="1" applyBorder="1" applyAlignment="1">
      <alignment horizontal="center"/>
    </xf>
    <xf numFmtId="1" fontId="19" fillId="0" borderId="3" xfId="0" applyNumberFormat="1" applyFont="1" applyBorder="1" applyAlignment="1">
      <alignment horizontal="center" wrapText="1"/>
    </xf>
    <xf numFmtId="44" fontId="19" fillId="0" borderId="3" xfId="1" applyFont="1" applyFill="1" applyBorder="1" applyAlignment="1">
      <alignment horizontal="center" wrapText="1"/>
    </xf>
    <xf numFmtId="44" fontId="20" fillId="0" borderId="3" xfId="1" applyFont="1" applyFill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44" fontId="19" fillId="0" borderId="5" xfId="1" applyFont="1" applyFill="1" applyBorder="1" applyAlignment="1">
      <alignment horizontal="center" wrapText="1"/>
    </xf>
    <xf numFmtId="0" fontId="19" fillId="6" borderId="3" xfId="0" applyFont="1" applyFill="1" applyBorder="1" applyAlignment="1">
      <alignment horizontal="center" wrapText="1"/>
    </xf>
    <xf numFmtId="1" fontId="19" fillId="6" borderId="3" xfId="0" applyNumberFormat="1" applyFont="1" applyFill="1" applyBorder="1" applyAlignment="1">
      <alignment horizontal="center" wrapText="1"/>
    </xf>
    <xf numFmtId="0" fontId="19" fillId="6" borderId="5" xfId="1" applyNumberFormat="1" applyFont="1" applyFill="1" applyBorder="1" applyAlignment="1">
      <alignment vertical="center" wrapText="1"/>
    </xf>
    <xf numFmtId="0" fontId="19" fillId="6" borderId="6" xfId="1" applyNumberFormat="1" applyFont="1" applyFill="1" applyBorder="1" applyAlignment="1">
      <alignment vertical="center" wrapText="1"/>
    </xf>
    <xf numFmtId="0" fontId="25" fillId="0" borderId="0" xfId="0" applyFont="1"/>
    <xf numFmtId="0" fontId="25" fillId="0" borderId="0" xfId="0" applyFont="1" applyAlignment="1">
      <alignment horizontal="center"/>
    </xf>
    <xf numFmtId="0" fontId="20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1" fontId="19" fillId="0" borderId="0" xfId="0" applyNumberFormat="1" applyFont="1" applyAlignment="1">
      <alignment horizontal="center" wrapText="1"/>
    </xf>
    <xf numFmtId="0" fontId="19" fillId="0" borderId="0" xfId="1" applyNumberFormat="1" applyFont="1" applyFill="1" applyBorder="1" applyAlignment="1">
      <alignment vertical="center" wrapText="1"/>
    </xf>
    <xf numFmtId="44" fontId="20" fillId="0" borderId="0" xfId="1" applyFont="1" applyFill="1" applyBorder="1" applyAlignment="1">
      <alignment horizontal="center" vertical="center" wrapText="1"/>
    </xf>
    <xf numFmtId="0" fontId="26" fillId="8" borderId="0" xfId="0" applyFont="1" applyFill="1"/>
    <xf numFmtId="0" fontId="27" fillId="8" borderId="0" xfId="0" applyFont="1" applyFill="1"/>
    <xf numFmtId="0" fontId="28" fillId="0" borderId="0" xfId="0" applyFont="1"/>
    <xf numFmtId="0" fontId="2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vertical="top"/>
    </xf>
    <xf numFmtId="0" fontId="20" fillId="3" borderId="0" xfId="0" applyFont="1" applyFill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2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3" fontId="29" fillId="0" borderId="0" xfId="0" applyNumberFormat="1" applyFont="1"/>
    <xf numFmtId="0" fontId="19" fillId="0" borderId="3" xfId="0" applyFont="1" applyBorder="1" applyAlignment="1">
      <alignment horizontal="center" vertical="center" wrapText="1"/>
    </xf>
    <xf numFmtId="44" fontId="19" fillId="0" borderId="3" xfId="0" applyNumberFormat="1" applyFont="1" applyBorder="1" applyAlignment="1">
      <alignment horizontal="center" vertical="center" wrapText="1"/>
    </xf>
    <xf numFmtId="1" fontId="19" fillId="0" borderId="3" xfId="1" applyNumberFormat="1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44" fontId="19" fillId="0" borderId="0" xfId="0" applyNumberFormat="1" applyFont="1" applyAlignment="1">
      <alignment vertical="top"/>
    </xf>
    <xf numFmtId="0" fontId="19" fillId="0" borderId="0" xfId="0" applyFont="1" applyAlignment="1">
      <alignment vertical="center"/>
    </xf>
    <xf numFmtId="44" fontId="20" fillId="4" borderId="3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 vertical="center"/>
    </xf>
    <xf numFmtId="44" fontId="19" fillId="0" borderId="0" xfId="1" applyFont="1" applyBorder="1" applyAlignment="1">
      <alignment horizontal="center" vertical="center" wrapText="1"/>
    </xf>
    <xf numFmtId="44" fontId="19" fillId="0" borderId="0" xfId="0" applyNumberFormat="1" applyFont="1" applyAlignment="1">
      <alignment horizontal="center" vertical="center" wrapText="1"/>
    </xf>
    <xf numFmtId="0" fontId="26" fillId="0" borderId="0" xfId="0" applyFont="1"/>
    <xf numFmtId="0" fontId="31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3" fontId="19" fillId="0" borderId="0" xfId="0" applyNumberFormat="1" applyFont="1" applyAlignment="1">
      <alignment vertical="center"/>
    </xf>
    <xf numFmtId="44" fontId="19" fillId="0" borderId="0" xfId="0" applyNumberFormat="1" applyFont="1" applyAlignment="1">
      <alignment vertical="center"/>
    </xf>
    <xf numFmtId="0" fontId="12" fillId="0" borderId="0" xfId="0" applyFont="1"/>
    <xf numFmtId="0" fontId="0" fillId="0" borderId="0" xfId="0" applyAlignment="1">
      <alignment horizontal="center"/>
    </xf>
    <xf numFmtId="0" fontId="33" fillId="0" borderId="0" xfId="0" applyFont="1" applyAlignment="1">
      <alignment horizontal="left" vertical="center"/>
    </xf>
    <xf numFmtId="44" fontId="7" fillId="0" borderId="0" xfId="0" applyNumberFormat="1" applyFont="1" applyAlignment="1">
      <alignment wrapText="1"/>
    </xf>
    <xf numFmtId="0" fontId="1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top" wrapText="1"/>
    </xf>
    <xf numFmtId="3" fontId="5" fillId="0" borderId="3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44" fontId="6" fillId="6" borderId="5" xfId="1" applyFont="1" applyFill="1" applyBorder="1" applyAlignment="1">
      <alignment horizontal="center" vertical="center" wrapText="1"/>
    </xf>
    <xf numFmtId="44" fontId="6" fillId="6" borderId="6" xfId="1" applyFont="1" applyFill="1" applyBorder="1" applyAlignment="1">
      <alignment horizontal="center" vertical="center" wrapText="1"/>
    </xf>
    <xf numFmtId="0" fontId="34" fillId="3" borderId="4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left" vertical="top"/>
    </xf>
    <xf numFmtId="14" fontId="7" fillId="0" borderId="3" xfId="0" applyNumberFormat="1" applyFont="1" applyBorder="1" applyAlignment="1">
      <alignment horizontal="left" vertical="top"/>
    </xf>
    <xf numFmtId="0" fontId="8" fillId="0" borderId="3" xfId="2" applyFont="1" applyBorder="1" applyAlignment="1">
      <alignment horizontal="left" wrapText="1"/>
    </xf>
    <xf numFmtId="0" fontId="6" fillId="6" borderId="2" xfId="0" applyFont="1" applyFill="1" applyBorder="1" applyAlignment="1">
      <alignment horizontal="right" wrapText="1"/>
    </xf>
    <xf numFmtId="0" fontId="6" fillId="6" borderId="7" xfId="0" applyFont="1" applyFill="1" applyBorder="1" applyAlignment="1">
      <alignment horizontal="right" wrapText="1"/>
    </xf>
    <xf numFmtId="0" fontId="6" fillId="6" borderId="1" xfId="0" applyFont="1" applyFill="1" applyBorder="1" applyAlignment="1">
      <alignment horizontal="right" wrapText="1"/>
    </xf>
    <xf numFmtId="0" fontId="17" fillId="0" borderId="3" xfId="0" applyFont="1" applyBorder="1" applyAlignment="1">
      <alignment horizontal="right" vertical="top" wrapText="1"/>
    </xf>
    <xf numFmtId="44" fontId="17" fillId="0" borderId="3" xfId="0" applyNumberFormat="1" applyFont="1" applyBorder="1" applyAlignment="1">
      <alignment horizontal="center" vertical="top" wrapText="1"/>
    </xf>
    <xf numFmtId="44" fontId="17" fillId="0" borderId="2" xfId="1" applyFont="1" applyFill="1" applyBorder="1" applyAlignment="1">
      <alignment horizontal="center" vertical="top"/>
    </xf>
    <xf numFmtId="44" fontId="17" fillId="0" borderId="7" xfId="1" applyFont="1" applyFill="1" applyBorder="1" applyAlignment="1">
      <alignment horizontal="center" vertical="top"/>
    </xf>
    <xf numFmtId="44" fontId="17" fillId="0" borderId="1" xfId="1" applyFont="1" applyFill="1" applyBorder="1" applyAlignment="1">
      <alignment horizontal="center" vertical="top"/>
    </xf>
    <xf numFmtId="0" fontId="17" fillId="0" borderId="2" xfId="0" applyFont="1" applyBorder="1" applyAlignment="1">
      <alignment horizontal="right" vertical="top" wrapText="1"/>
    </xf>
    <xf numFmtId="0" fontId="17" fillId="0" borderId="1" xfId="0" applyFont="1" applyBorder="1" applyAlignment="1">
      <alignment horizontal="right" vertical="top" wrapText="1"/>
    </xf>
    <xf numFmtId="0" fontId="7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/>
    </xf>
    <xf numFmtId="0" fontId="13" fillId="8" borderId="0" xfId="0" applyFont="1" applyFill="1" applyAlignment="1">
      <alignment horizontal="left"/>
    </xf>
    <xf numFmtId="0" fontId="15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8" fillId="4" borderId="3" xfId="0" applyFont="1" applyFill="1" applyBorder="1" applyAlignment="1">
      <alignment horizontal="right" vertical="top"/>
    </xf>
    <xf numFmtId="44" fontId="18" fillId="4" borderId="3" xfId="1" applyFont="1" applyFill="1" applyBorder="1" applyAlignment="1">
      <alignment horizontal="center" vertical="top" wrapText="1"/>
    </xf>
    <xf numFmtId="1" fontId="7" fillId="0" borderId="0" xfId="0" applyNumberFormat="1" applyFont="1" applyAlignment="1">
      <alignment horizontal="center"/>
    </xf>
    <xf numFmtId="0" fontId="10" fillId="0" borderId="3" xfId="0" applyFont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44" fontId="2" fillId="4" borderId="3" xfId="1" applyFont="1" applyFill="1" applyBorder="1" applyAlignment="1">
      <alignment horizontal="right" vertical="center" wrapText="1"/>
    </xf>
    <xf numFmtId="0" fontId="33" fillId="0" borderId="0" xfId="0" applyFont="1" applyAlignment="1">
      <alignment horizontal="left" vertical="center"/>
    </xf>
    <xf numFmtId="0" fontId="7" fillId="7" borderId="2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center"/>
    </xf>
    <xf numFmtId="0" fontId="19" fillId="0" borderId="2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/>
    </xf>
    <xf numFmtId="0" fontId="19" fillId="2" borderId="3" xfId="0" applyFont="1" applyFill="1" applyBorder="1" applyAlignment="1">
      <alignment horizontal="left" vertical="center"/>
    </xf>
    <xf numFmtId="0" fontId="19" fillId="7" borderId="2" xfId="0" applyFont="1" applyFill="1" applyBorder="1" applyAlignment="1">
      <alignment horizontal="left" vertical="top" wrapText="1"/>
    </xf>
    <xf numFmtId="0" fontId="19" fillId="7" borderId="1" xfId="0" applyFont="1" applyFill="1" applyBorder="1" applyAlignment="1">
      <alignment horizontal="left" vertical="top" wrapText="1"/>
    </xf>
    <xf numFmtId="14" fontId="19" fillId="0" borderId="3" xfId="0" applyNumberFormat="1" applyFont="1" applyBorder="1" applyAlignment="1">
      <alignment horizontal="left" vertical="top"/>
    </xf>
    <xf numFmtId="0" fontId="21" fillId="2" borderId="3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wrapText="1"/>
    </xf>
    <xf numFmtId="0" fontId="19" fillId="0" borderId="1" xfId="0" applyFont="1" applyBorder="1" applyAlignment="1">
      <alignment horizontal="left" wrapText="1"/>
    </xf>
    <xf numFmtId="0" fontId="22" fillId="0" borderId="3" xfId="2" applyFont="1" applyBorder="1" applyAlignment="1">
      <alignment horizontal="left" wrapText="1"/>
    </xf>
    <xf numFmtId="0" fontId="19" fillId="2" borderId="2" xfId="0" applyFont="1" applyFill="1" applyBorder="1" applyAlignment="1">
      <alignment horizontal="left" vertical="center"/>
    </xf>
    <xf numFmtId="0" fontId="19" fillId="2" borderId="7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19" fillId="2" borderId="5" xfId="0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0" fontId="19" fillId="2" borderId="9" xfId="0" applyFont="1" applyFill="1" applyBorder="1" applyAlignment="1">
      <alignment horizontal="left" vertical="center" wrapText="1"/>
    </xf>
    <xf numFmtId="0" fontId="19" fillId="2" borderId="11" xfId="0" applyFont="1" applyFill="1" applyBorder="1" applyAlignment="1">
      <alignment horizontal="left" vertical="center" wrapText="1"/>
    </xf>
    <xf numFmtId="0" fontId="19" fillId="2" borderId="10" xfId="0" applyFont="1" applyFill="1" applyBorder="1" applyAlignment="1">
      <alignment horizontal="left" vertical="center" wrapText="1"/>
    </xf>
    <xf numFmtId="0" fontId="19" fillId="2" borderId="12" xfId="0" applyFont="1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19" fillId="2" borderId="13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left" wrapText="1"/>
    </xf>
    <xf numFmtId="0" fontId="20" fillId="6" borderId="2" xfId="0" applyFont="1" applyFill="1" applyBorder="1" applyAlignment="1">
      <alignment horizontal="right" wrapText="1"/>
    </xf>
    <xf numFmtId="0" fontId="20" fillId="6" borderId="7" xfId="0" applyFont="1" applyFill="1" applyBorder="1" applyAlignment="1">
      <alignment horizontal="right" wrapText="1"/>
    </xf>
    <xf numFmtId="0" fontId="20" fillId="6" borderId="1" xfId="0" applyFont="1" applyFill="1" applyBorder="1" applyAlignment="1">
      <alignment horizontal="right" wrapText="1"/>
    </xf>
    <xf numFmtId="44" fontId="20" fillId="6" borderId="5" xfId="1" applyFont="1" applyFill="1" applyBorder="1" applyAlignment="1">
      <alignment horizontal="center" vertical="center" wrapText="1"/>
    </xf>
    <xf numFmtId="44" fontId="20" fillId="6" borderId="6" xfId="1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right" vertical="top" wrapText="1"/>
    </xf>
    <xf numFmtId="44" fontId="24" fillId="4" borderId="3" xfId="0" applyNumberFormat="1" applyFont="1" applyFill="1" applyBorder="1" applyAlignment="1">
      <alignment horizontal="center" vertical="top"/>
    </xf>
    <xf numFmtId="0" fontId="32" fillId="0" borderId="0" xfId="0" applyFont="1" applyAlignment="1">
      <alignment horizontal="center"/>
    </xf>
    <xf numFmtId="44" fontId="20" fillId="4" borderId="3" xfId="1" applyFont="1" applyFill="1" applyBorder="1" applyAlignment="1">
      <alignment horizontal="right" vertical="center" wrapText="1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" fontId="19" fillId="0" borderId="3" xfId="0" applyNumberFormat="1" applyFont="1" applyBorder="1" applyAlignment="1">
      <alignment horizontal="center" vertical="center"/>
    </xf>
    <xf numFmtId="3" fontId="19" fillId="0" borderId="3" xfId="0" applyNumberFormat="1" applyFont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top" wrapText="1"/>
    </xf>
    <xf numFmtId="0" fontId="20" fillId="3" borderId="4" xfId="0" applyFont="1" applyFill="1" applyBorder="1" applyAlignment="1">
      <alignment horizont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283027</xdr:colOff>
      <xdr:row>0</xdr:row>
      <xdr:rowOff>10885</xdr:rowOff>
    </xdr:from>
    <xdr:to>
      <xdr:col>1</xdr:col>
      <xdr:colOff>1309406</xdr:colOff>
      <xdr:row>5</xdr:row>
      <xdr:rowOff>207818</xdr:rowOff>
    </xdr:to>
    <xdr:pic>
      <xdr:nvPicPr>
        <xdr:cNvPr id="2" name="SEA Logo" descr="A blue circle with white text&#10;&#10;Description automatically generated with medium confidence">
          <a:extLst>
            <a:ext uri="{FF2B5EF4-FFF2-40B4-BE49-F238E27FC236}">
              <a16:creationId xmlns:a16="http://schemas.microsoft.com/office/drawing/2014/main" id="{5C8032D9-83D8-215C-F243-6A55AFEA3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056" y="10885"/>
          <a:ext cx="1625093" cy="14260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283027</xdr:colOff>
      <xdr:row>0</xdr:row>
      <xdr:rowOff>10885</xdr:rowOff>
    </xdr:from>
    <xdr:to>
      <xdr:col>1</xdr:col>
      <xdr:colOff>1309406</xdr:colOff>
      <xdr:row>6</xdr:row>
      <xdr:rowOff>0</xdr:rowOff>
    </xdr:to>
    <xdr:pic>
      <xdr:nvPicPr>
        <xdr:cNvPr id="2" name="SEA Logo" descr="A blue circle with white text&#10;&#10;Description automatically generated with medium confidence">
          <a:extLst>
            <a:ext uri="{FF2B5EF4-FFF2-40B4-BE49-F238E27FC236}">
              <a16:creationId xmlns:a16="http://schemas.microsoft.com/office/drawing/2014/main" id="{8D72B9FC-516D-4CE0-AA99-1AE2DDD43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027" y="10885"/>
          <a:ext cx="1628359" cy="1426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0C05-0497-4D32-9682-B4AA6B1578D1}">
  <sheetPr>
    <pageSetUpPr fitToPage="1"/>
  </sheetPr>
  <dimension ref="A2:Y41"/>
  <sheetViews>
    <sheetView tabSelected="1" topLeftCell="A23" zoomScale="55" zoomScaleNormal="55" workbookViewId="0">
      <selection activeCell="C34" sqref="C34"/>
    </sheetView>
  </sheetViews>
  <sheetFormatPr defaultColWidth="8.77734375" defaultRowHeight="18" x14ac:dyDescent="0.35"/>
  <cols>
    <col min="1" max="1" width="8.77734375" style="1"/>
    <col min="2" max="2" width="23.88671875" style="1" customWidth="1"/>
    <col min="3" max="3" width="20.44140625" style="1" customWidth="1"/>
    <col min="4" max="4" width="27" style="1" customWidth="1"/>
    <col min="5" max="5" width="15.88671875" style="1" customWidth="1"/>
    <col min="6" max="6" width="19.109375" style="1" customWidth="1"/>
    <col min="7" max="7" width="14.109375" style="1" customWidth="1"/>
    <col min="8" max="8" width="21.21875" style="1" customWidth="1"/>
    <col min="9" max="9" width="12.77734375" style="1" customWidth="1"/>
    <col min="10" max="10" width="17.77734375" style="1" customWidth="1"/>
    <col min="11" max="11" width="12.33203125" style="1" customWidth="1"/>
    <col min="12" max="20" width="12.77734375" style="1" customWidth="1"/>
    <col min="21" max="21" width="16.21875" style="1" customWidth="1"/>
    <col min="22" max="22" width="12.44140625" style="1" customWidth="1"/>
    <col min="23" max="23" width="16.5546875" style="1" customWidth="1"/>
    <col min="24" max="24" width="16.44140625" style="1" customWidth="1"/>
    <col min="25" max="25" width="24.77734375" style="1" customWidth="1"/>
    <col min="26" max="16384" width="8.77734375" style="1"/>
  </cols>
  <sheetData>
    <row r="2" spans="2:16" ht="23.4" x14ac:dyDescent="0.45">
      <c r="E2" s="150"/>
      <c r="F2" s="154" t="s">
        <v>80</v>
      </c>
      <c r="G2" s="154"/>
      <c r="H2" s="154"/>
      <c r="I2" s="154"/>
    </row>
    <row r="5" spans="2:16" s="5" customFormat="1" ht="21" x14ac:dyDescent="0.35">
      <c r="B5" s="4"/>
      <c r="C5" s="204" t="s">
        <v>20</v>
      </c>
      <c r="D5" s="204"/>
      <c r="E5" s="204"/>
      <c r="F5" s="204"/>
      <c r="G5" s="152"/>
      <c r="H5" s="152"/>
      <c r="I5" s="23"/>
      <c r="J5" s="23"/>
      <c r="K5" s="23"/>
      <c r="L5" s="23"/>
      <c r="M5" s="23"/>
      <c r="N5" s="23"/>
      <c r="O5" s="23"/>
      <c r="P5" s="23"/>
    </row>
    <row r="6" spans="2:16" s="4" customFormat="1" x14ac:dyDescent="0.35">
      <c r="C6" s="159" t="s">
        <v>15</v>
      </c>
      <c r="D6" s="160"/>
      <c r="E6" s="173" t="s">
        <v>21</v>
      </c>
      <c r="F6" s="173"/>
      <c r="G6" s="173"/>
      <c r="H6" s="173"/>
      <c r="J6" s="6" t="s">
        <v>14</v>
      </c>
      <c r="K6" s="186" t="s">
        <v>34</v>
      </c>
      <c r="L6" s="186"/>
      <c r="M6" s="186"/>
      <c r="N6" s="186"/>
      <c r="O6" s="186"/>
      <c r="P6" s="186"/>
    </row>
    <row r="7" spans="2:16" s="4" customFormat="1" x14ac:dyDescent="0.35">
      <c r="C7" s="205" t="s">
        <v>77</v>
      </c>
      <c r="D7" s="206"/>
      <c r="E7" s="174">
        <v>46248</v>
      </c>
      <c r="F7" s="174"/>
      <c r="G7" s="174"/>
      <c r="H7" s="174"/>
      <c r="J7" s="6" t="s">
        <v>13</v>
      </c>
      <c r="K7" s="187" t="s">
        <v>33</v>
      </c>
      <c r="L7" s="187"/>
      <c r="M7" s="187"/>
      <c r="N7" s="187"/>
      <c r="O7" s="187"/>
      <c r="P7" s="187"/>
    </row>
    <row r="8" spans="2:16" s="4" customFormat="1" ht="37.799999999999997" customHeight="1" x14ac:dyDescent="0.35">
      <c r="C8" s="188" t="s">
        <v>16</v>
      </c>
      <c r="D8" s="190"/>
      <c r="E8" s="175" t="s">
        <v>22</v>
      </c>
      <c r="F8" s="175"/>
      <c r="G8" s="175"/>
      <c r="H8" s="175"/>
      <c r="J8" s="7" t="s">
        <v>11</v>
      </c>
      <c r="K8" s="161" t="s">
        <v>32</v>
      </c>
      <c r="L8" s="162"/>
      <c r="M8" s="162"/>
      <c r="N8" s="162"/>
      <c r="O8" s="162"/>
      <c r="P8" s="163"/>
    </row>
    <row r="9" spans="2:16" s="4" customFormat="1" x14ac:dyDescent="0.35">
      <c r="C9" s="159" t="s">
        <v>12</v>
      </c>
      <c r="D9" s="160"/>
      <c r="E9" s="200" t="s">
        <v>31</v>
      </c>
      <c r="F9" s="200"/>
      <c r="G9" s="200"/>
      <c r="H9" s="200"/>
      <c r="J9" s="201" t="s">
        <v>9</v>
      </c>
      <c r="K9" s="164" t="s">
        <v>19</v>
      </c>
      <c r="L9" s="165"/>
      <c r="M9" s="165"/>
      <c r="N9" s="165"/>
      <c r="O9" s="165"/>
      <c r="P9" s="166"/>
    </row>
    <row r="10" spans="2:16" s="4" customFormat="1" ht="18.600000000000001" customHeight="1" x14ac:dyDescent="0.35">
      <c r="C10" s="159" t="s">
        <v>10</v>
      </c>
      <c r="D10" s="160"/>
      <c r="E10" s="173" t="s">
        <v>23</v>
      </c>
      <c r="F10" s="173"/>
      <c r="G10" s="173"/>
      <c r="H10" s="173"/>
      <c r="J10" s="202"/>
      <c r="K10" s="167"/>
      <c r="L10" s="168"/>
      <c r="M10" s="168"/>
      <c r="N10" s="168"/>
      <c r="O10" s="168"/>
      <c r="P10" s="169"/>
    </row>
    <row r="11" spans="2:16" s="4" customFormat="1" x14ac:dyDescent="0.35">
      <c r="C11" s="159" t="s">
        <v>8</v>
      </c>
      <c r="D11" s="160"/>
      <c r="E11" s="173" t="s">
        <v>50</v>
      </c>
      <c r="F11" s="173"/>
      <c r="G11" s="173"/>
      <c r="H11" s="173"/>
      <c r="J11" s="8" t="s">
        <v>24</v>
      </c>
      <c r="K11" s="161" t="s">
        <v>7</v>
      </c>
      <c r="L11" s="162"/>
      <c r="M11" s="162"/>
      <c r="N11" s="162"/>
      <c r="O11" s="162"/>
      <c r="P11" s="163"/>
    </row>
    <row r="12" spans="2:16" s="4" customFormat="1" ht="40.200000000000003" customHeight="1" x14ac:dyDescent="0.35">
      <c r="C12" s="159" t="s">
        <v>26</v>
      </c>
      <c r="D12" s="160"/>
      <c r="E12" s="173" t="s">
        <v>83</v>
      </c>
      <c r="F12" s="173"/>
      <c r="G12" s="173"/>
      <c r="H12" s="173"/>
      <c r="J12" s="2" t="s">
        <v>6</v>
      </c>
      <c r="K12" s="188" t="s">
        <v>27</v>
      </c>
      <c r="L12" s="189"/>
      <c r="M12" s="189"/>
      <c r="N12" s="189"/>
      <c r="O12" s="189"/>
      <c r="P12" s="190"/>
    </row>
    <row r="13" spans="2:16" s="4" customFormat="1" ht="40.200000000000003" customHeight="1" x14ac:dyDescent="0.35">
      <c r="C13" s="179" t="s">
        <v>63</v>
      </c>
      <c r="D13" s="179"/>
      <c r="E13" s="180">
        <f>SUM(W23)</f>
        <v>12000</v>
      </c>
      <c r="F13" s="180"/>
      <c r="G13" s="180"/>
      <c r="H13" s="180"/>
      <c r="K13" s="65"/>
      <c r="L13" s="65"/>
    </row>
    <row r="14" spans="2:16" s="4" customFormat="1" ht="40.200000000000003" customHeight="1" x14ac:dyDescent="0.35">
      <c r="C14" s="184" t="s">
        <v>81</v>
      </c>
      <c r="D14" s="185"/>
      <c r="E14" s="181">
        <f>800</f>
        <v>800</v>
      </c>
      <c r="F14" s="182"/>
      <c r="G14" s="182"/>
      <c r="H14" s="183"/>
      <c r="K14" s="65"/>
      <c r="L14" s="65"/>
    </row>
    <row r="15" spans="2:16" s="4" customFormat="1" ht="40.200000000000003" customHeight="1" x14ac:dyDescent="0.35">
      <c r="C15" s="197" t="s">
        <v>70</v>
      </c>
      <c r="D15" s="197"/>
      <c r="E15" s="198">
        <f>SUM(E13:H14)</f>
        <v>12800</v>
      </c>
      <c r="F15" s="198"/>
      <c r="G15" s="198"/>
      <c r="H15" s="198"/>
      <c r="J15" s="153"/>
      <c r="K15" s="65"/>
      <c r="L15" s="65"/>
    </row>
    <row r="16" spans="2:16" s="4" customFormat="1" ht="19.8" customHeight="1" x14ac:dyDescent="0.35"/>
    <row r="17" spans="1:25" ht="34.200000000000003" customHeight="1" x14ac:dyDescent="0.45">
      <c r="B17" s="41" t="s">
        <v>25</v>
      </c>
      <c r="C17" s="41"/>
      <c r="D17" s="41"/>
      <c r="E17" s="16"/>
      <c r="F17" s="16"/>
      <c r="G17" s="42"/>
      <c r="H17" s="42"/>
      <c r="I17" s="172" t="s">
        <v>82</v>
      </c>
      <c r="J17" s="172"/>
      <c r="K17" s="172"/>
      <c r="L17" s="42"/>
      <c r="M17" s="42"/>
      <c r="N17" s="44"/>
      <c r="O17" s="44"/>
      <c r="P17" s="44"/>
      <c r="Q17" s="44"/>
      <c r="R17" s="44"/>
      <c r="S17" s="44"/>
      <c r="T17" s="44"/>
      <c r="U17" s="44"/>
      <c r="V17" s="43"/>
      <c r="W17" s="43"/>
      <c r="X17" s="43"/>
      <c r="Y17" s="43"/>
    </row>
    <row r="18" spans="1:25" ht="54" x14ac:dyDescent="0.35">
      <c r="B18" s="18" t="s">
        <v>5</v>
      </c>
      <c r="C18" s="18" t="s">
        <v>4</v>
      </c>
      <c r="D18" s="18" t="s">
        <v>3</v>
      </c>
      <c r="E18" s="18" t="s">
        <v>43</v>
      </c>
      <c r="F18" s="33">
        <v>46251</v>
      </c>
      <c r="G18" s="33">
        <f>F18+7</f>
        <v>46258</v>
      </c>
      <c r="H18" s="33">
        <f t="shared" ref="H18:T18" si="0">G18+7</f>
        <v>46265</v>
      </c>
      <c r="I18" s="33">
        <f t="shared" si="0"/>
        <v>46272</v>
      </c>
      <c r="J18" s="33">
        <f t="shared" si="0"/>
        <v>46279</v>
      </c>
      <c r="K18" s="33">
        <f t="shared" si="0"/>
        <v>46286</v>
      </c>
      <c r="L18" s="33">
        <f t="shared" si="0"/>
        <v>46293</v>
      </c>
      <c r="M18" s="33">
        <f t="shared" si="0"/>
        <v>46300</v>
      </c>
      <c r="N18" s="33">
        <f t="shared" si="0"/>
        <v>46307</v>
      </c>
      <c r="O18" s="33">
        <f t="shared" si="0"/>
        <v>46314</v>
      </c>
      <c r="P18" s="33">
        <f t="shared" si="0"/>
        <v>46321</v>
      </c>
      <c r="Q18" s="33">
        <f t="shared" si="0"/>
        <v>46328</v>
      </c>
      <c r="R18" s="33">
        <f t="shared" si="0"/>
        <v>46335</v>
      </c>
      <c r="S18" s="33">
        <f t="shared" si="0"/>
        <v>46342</v>
      </c>
      <c r="T18" s="33">
        <f t="shared" si="0"/>
        <v>46349</v>
      </c>
      <c r="U18" s="9" t="s">
        <v>2</v>
      </c>
      <c r="V18" s="18" t="s">
        <v>17</v>
      </c>
      <c r="W18" s="21" t="s">
        <v>18</v>
      </c>
      <c r="X18" s="21" t="s">
        <v>35</v>
      </c>
    </row>
    <row r="19" spans="1:25" ht="36.6" customHeight="1" x14ac:dyDescent="0.35">
      <c r="B19" s="24" t="s">
        <v>73</v>
      </c>
      <c r="C19" s="24" t="s">
        <v>75</v>
      </c>
      <c r="D19" s="25" t="s">
        <v>1</v>
      </c>
      <c r="E19" s="25" t="s">
        <v>44</v>
      </c>
      <c r="F19" s="48">
        <v>5</v>
      </c>
      <c r="G19" s="48">
        <v>5</v>
      </c>
      <c r="H19" s="48">
        <v>5</v>
      </c>
      <c r="I19" s="48">
        <v>5</v>
      </c>
      <c r="J19" s="48">
        <v>5</v>
      </c>
      <c r="K19" s="48">
        <v>5</v>
      </c>
      <c r="L19" s="48">
        <v>4</v>
      </c>
      <c r="M19" s="48">
        <v>4</v>
      </c>
      <c r="N19" s="48">
        <v>4</v>
      </c>
      <c r="O19" s="48">
        <v>3</v>
      </c>
      <c r="P19" s="48">
        <v>3</v>
      </c>
      <c r="Q19" s="48">
        <v>3</v>
      </c>
      <c r="R19" s="48">
        <v>3</v>
      </c>
      <c r="S19" s="48">
        <v>3</v>
      </c>
      <c r="T19" s="48">
        <v>3</v>
      </c>
      <c r="U19" s="26">
        <f>SUM(F19:T19)</f>
        <v>60</v>
      </c>
      <c r="V19" s="27">
        <v>120</v>
      </c>
      <c r="W19" s="28">
        <f t="shared" ref="W19" si="1">V19*U19</f>
        <v>7200</v>
      </c>
      <c r="X19" s="28">
        <f t="shared" ref="X19" si="2">W19*0.85</f>
        <v>6120</v>
      </c>
    </row>
    <row r="20" spans="1:25" ht="42" customHeight="1" x14ac:dyDescent="0.35">
      <c r="B20" s="24" t="s">
        <v>51</v>
      </c>
      <c r="C20" s="24" t="s">
        <v>52</v>
      </c>
      <c r="D20" s="25" t="s">
        <v>1</v>
      </c>
      <c r="E20" s="25" t="s">
        <v>44</v>
      </c>
      <c r="F20" s="48">
        <v>4</v>
      </c>
      <c r="G20" s="48">
        <v>4</v>
      </c>
      <c r="H20" s="48">
        <v>4</v>
      </c>
      <c r="I20" s="48">
        <v>3</v>
      </c>
      <c r="J20" s="48">
        <v>3</v>
      </c>
      <c r="K20" s="48">
        <v>3</v>
      </c>
      <c r="L20" s="48">
        <v>3</v>
      </c>
      <c r="M20" s="48">
        <v>3</v>
      </c>
      <c r="N20" s="48">
        <v>3</v>
      </c>
      <c r="O20" s="48">
        <v>3</v>
      </c>
      <c r="P20" s="48">
        <v>3</v>
      </c>
      <c r="Q20" s="48">
        <v>3</v>
      </c>
      <c r="R20" s="48">
        <v>3</v>
      </c>
      <c r="S20" s="48">
        <v>3</v>
      </c>
      <c r="T20" s="48">
        <v>3</v>
      </c>
      <c r="U20" s="26">
        <f>SUM(F20:T20)</f>
        <v>48</v>
      </c>
      <c r="V20" s="27">
        <v>100</v>
      </c>
      <c r="W20" s="28">
        <f t="shared" ref="W20" si="3">V20*U20</f>
        <v>4800</v>
      </c>
      <c r="X20" s="28">
        <f t="shared" ref="X20" si="4">W20*0.85</f>
        <v>4080</v>
      </c>
    </row>
    <row r="21" spans="1:25" ht="42" customHeight="1" x14ac:dyDescent="0.35">
      <c r="A21" s="22" t="s">
        <v>28</v>
      </c>
      <c r="B21" s="18" t="s">
        <v>76</v>
      </c>
      <c r="C21" s="18" t="s">
        <v>61</v>
      </c>
      <c r="D21" s="67" t="s">
        <v>28</v>
      </c>
      <c r="E21" s="67" t="s">
        <v>44</v>
      </c>
      <c r="F21" s="68">
        <v>4</v>
      </c>
      <c r="G21" s="68">
        <v>4</v>
      </c>
      <c r="H21" s="68">
        <v>4</v>
      </c>
      <c r="I21" s="68">
        <v>3</v>
      </c>
      <c r="J21" s="68">
        <v>3</v>
      </c>
      <c r="K21" s="68">
        <v>3</v>
      </c>
      <c r="L21" s="68">
        <v>3</v>
      </c>
      <c r="M21" s="68">
        <v>3</v>
      </c>
      <c r="N21" s="68">
        <v>3</v>
      </c>
      <c r="O21" s="68">
        <v>3</v>
      </c>
      <c r="P21" s="68">
        <v>3</v>
      </c>
      <c r="Q21" s="68">
        <v>3</v>
      </c>
      <c r="R21" s="68">
        <v>3</v>
      </c>
      <c r="S21" s="68">
        <v>3</v>
      </c>
      <c r="T21" s="68">
        <v>3</v>
      </c>
      <c r="U21" s="69">
        <f>SUM(F21:T21)</f>
        <v>48</v>
      </c>
      <c r="V21" s="70">
        <v>0</v>
      </c>
      <c r="W21" s="71">
        <f t="shared" ref="W21:W22" si="5">U21*V21</f>
        <v>0</v>
      </c>
      <c r="X21" s="71">
        <f>0</f>
        <v>0</v>
      </c>
    </row>
    <row r="22" spans="1:25" ht="42" customHeight="1" x14ac:dyDescent="0.35">
      <c r="A22" s="22" t="s">
        <v>28</v>
      </c>
      <c r="B22" s="72" t="s">
        <v>53</v>
      </c>
      <c r="C22" s="18" t="s">
        <v>59</v>
      </c>
      <c r="D22" s="67" t="s">
        <v>28</v>
      </c>
      <c r="E22" s="67" t="s">
        <v>44</v>
      </c>
      <c r="F22" s="18">
        <v>4</v>
      </c>
      <c r="G22" s="18">
        <v>4</v>
      </c>
      <c r="H22" s="18">
        <v>4</v>
      </c>
      <c r="I22" s="18">
        <v>3</v>
      </c>
      <c r="J22" s="18">
        <v>3</v>
      </c>
      <c r="K22" s="18">
        <v>3</v>
      </c>
      <c r="L22" s="18">
        <v>3</v>
      </c>
      <c r="M22" s="18">
        <v>3</v>
      </c>
      <c r="N22" s="18">
        <v>3</v>
      </c>
      <c r="O22" s="18">
        <v>3</v>
      </c>
      <c r="P22" s="18">
        <v>3</v>
      </c>
      <c r="Q22" s="18">
        <v>3</v>
      </c>
      <c r="R22" s="18">
        <v>3</v>
      </c>
      <c r="S22" s="18">
        <v>3</v>
      </c>
      <c r="T22" s="18">
        <v>3</v>
      </c>
      <c r="U22" s="69">
        <f>SUM(F22:T22)</f>
        <v>48</v>
      </c>
      <c r="V22" s="73">
        <v>0</v>
      </c>
      <c r="W22" s="71">
        <f t="shared" si="5"/>
        <v>0</v>
      </c>
      <c r="X22" s="71">
        <f>0</f>
        <v>0</v>
      </c>
    </row>
    <row r="23" spans="1:25" ht="26.4" customHeight="1" x14ac:dyDescent="0.35">
      <c r="B23" s="176" t="s">
        <v>40</v>
      </c>
      <c r="C23" s="177"/>
      <c r="D23" s="177"/>
      <c r="E23" s="178"/>
      <c r="F23" s="36">
        <f t="shared" ref="F23:O23" si="6">SUM(F19:F20)</f>
        <v>9</v>
      </c>
      <c r="G23" s="36">
        <f t="shared" si="6"/>
        <v>9</v>
      </c>
      <c r="H23" s="36">
        <f t="shared" si="6"/>
        <v>9</v>
      </c>
      <c r="I23" s="36">
        <f t="shared" ref="I23:K23" si="7">SUM(I19:I20)</f>
        <v>8</v>
      </c>
      <c r="J23" s="36">
        <f t="shared" si="7"/>
        <v>8</v>
      </c>
      <c r="K23" s="36">
        <f t="shared" si="7"/>
        <v>8</v>
      </c>
      <c r="L23" s="36">
        <f t="shared" si="6"/>
        <v>7</v>
      </c>
      <c r="M23" s="36">
        <f t="shared" si="6"/>
        <v>7</v>
      </c>
      <c r="N23" s="36">
        <f t="shared" si="6"/>
        <v>7</v>
      </c>
      <c r="O23" s="36">
        <f t="shared" si="6"/>
        <v>6</v>
      </c>
      <c r="P23" s="36">
        <f t="shared" ref="P23:T23" si="8">SUM(P19:P20)</f>
        <v>6</v>
      </c>
      <c r="Q23" s="36">
        <f t="shared" si="8"/>
        <v>6</v>
      </c>
      <c r="R23" s="36">
        <f t="shared" si="8"/>
        <v>6</v>
      </c>
      <c r="S23" s="36">
        <f t="shared" si="8"/>
        <v>6</v>
      </c>
      <c r="T23" s="36">
        <f t="shared" si="8"/>
        <v>6</v>
      </c>
      <c r="U23" s="45">
        <f>SUM(F23:T23)</f>
        <v>108</v>
      </c>
      <c r="V23" s="46"/>
      <c r="W23" s="170">
        <f>SUM(W19:W20)</f>
        <v>12000</v>
      </c>
      <c r="X23" s="170">
        <f>W23*0.85</f>
        <v>10200</v>
      </c>
    </row>
    <row r="24" spans="1:25" ht="26.4" customHeight="1" x14ac:dyDescent="0.35">
      <c r="B24" s="176" t="s">
        <v>41</v>
      </c>
      <c r="C24" s="177"/>
      <c r="D24" s="177"/>
      <c r="E24" s="178"/>
      <c r="F24" s="36">
        <f>SUM(F21:F22)</f>
        <v>8</v>
      </c>
      <c r="G24" s="36">
        <f t="shared" ref="G24:O24" si="9">SUM(G21:G22)</f>
        <v>8</v>
      </c>
      <c r="H24" s="36">
        <f t="shared" si="9"/>
        <v>8</v>
      </c>
      <c r="I24" s="36">
        <f t="shared" ref="I24:K24" si="10">SUM(I21:I22)</f>
        <v>6</v>
      </c>
      <c r="J24" s="36">
        <f t="shared" si="10"/>
        <v>6</v>
      </c>
      <c r="K24" s="36">
        <f t="shared" si="10"/>
        <v>6</v>
      </c>
      <c r="L24" s="36">
        <f t="shared" si="9"/>
        <v>6</v>
      </c>
      <c r="M24" s="36">
        <f t="shared" si="9"/>
        <v>6</v>
      </c>
      <c r="N24" s="36">
        <f t="shared" si="9"/>
        <v>6</v>
      </c>
      <c r="O24" s="36">
        <f t="shared" si="9"/>
        <v>6</v>
      </c>
      <c r="P24" s="36">
        <f t="shared" ref="P24:T24" si="11">SUM(P21:P22)</f>
        <v>6</v>
      </c>
      <c r="Q24" s="36">
        <f t="shared" si="11"/>
        <v>6</v>
      </c>
      <c r="R24" s="36">
        <f t="shared" si="11"/>
        <v>6</v>
      </c>
      <c r="S24" s="36">
        <f t="shared" si="11"/>
        <v>6</v>
      </c>
      <c r="T24" s="36">
        <f t="shared" si="11"/>
        <v>6</v>
      </c>
      <c r="U24" s="45">
        <f>SUM(U21:U22)</f>
        <v>96</v>
      </c>
      <c r="V24" s="47"/>
      <c r="W24" s="171"/>
      <c r="X24" s="171"/>
    </row>
    <row r="25" spans="1:25" ht="26.4" customHeight="1" x14ac:dyDescent="0.35">
      <c r="B25" s="34" t="s">
        <v>38</v>
      </c>
      <c r="C25" s="35"/>
      <c r="D25" s="35"/>
      <c r="E25" s="49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7"/>
      <c r="W25" s="51"/>
      <c r="X25" s="52"/>
      <c r="Y25" s="52"/>
    </row>
    <row r="26" spans="1:25" s="61" customFormat="1" ht="25.8" x14ac:dyDescent="0.5">
      <c r="B26" s="49"/>
      <c r="C26" s="49"/>
      <c r="D26" s="49"/>
      <c r="E26" s="49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7"/>
      <c r="W26" s="51"/>
      <c r="X26" s="52"/>
      <c r="Y26" s="52"/>
    </row>
    <row r="27" spans="1:25" ht="26.4" customHeight="1" x14ac:dyDescent="0.5">
      <c r="B27" s="62" t="s">
        <v>62</v>
      </c>
      <c r="C27" s="61"/>
      <c r="D27" s="194" t="s">
        <v>79</v>
      </c>
      <c r="E27" s="194"/>
      <c r="F27" s="194"/>
      <c r="G27" s="194"/>
      <c r="H27" s="194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 spans="1:25" ht="36" customHeight="1" x14ac:dyDescent="0.4">
      <c r="B28" s="195" t="s">
        <v>78</v>
      </c>
      <c r="C28" s="195"/>
      <c r="D28" s="195"/>
      <c r="E28" s="195"/>
      <c r="F28" s="195"/>
      <c r="G28" s="195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7"/>
      <c r="V28" s="50"/>
      <c r="W28" s="51"/>
      <c r="X28" s="52"/>
      <c r="Y28" s="52"/>
    </row>
    <row r="29" spans="1:25" x14ac:dyDescent="0.35">
      <c r="B29" s="34"/>
      <c r="C29" s="35"/>
      <c r="D29" s="35"/>
      <c r="E29" s="3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57"/>
    </row>
    <row r="30" spans="1:25" s="3" customFormat="1" ht="18" customHeight="1" x14ac:dyDescent="0.35">
      <c r="B30" s="1"/>
      <c r="C30" s="10"/>
      <c r="D30" s="1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57"/>
      <c r="V30" s="1"/>
      <c r="W30" s="1"/>
      <c r="X30" s="1"/>
      <c r="Y30" s="1"/>
    </row>
    <row r="31" spans="1:25" s="12" customFormat="1" ht="37.200000000000003" customHeight="1" x14ac:dyDescent="0.35">
      <c r="B31" s="3"/>
      <c r="C31" s="191" t="s">
        <v>0</v>
      </c>
      <c r="D31" s="192"/>
      <c r="E31" s="192"/>
      <c r="F31" s="192"/>
      <c r="G31" s="192"/>
      <c r="H31" s="192"/>
      <c r="I31" s="192"/>
      <c r="J31" s="59"/>
      <c r="K31" s="59"/>
      <c r="L31" s="59"/>
      <c r="M31" s="37"/>
      <c r="N31" s="37"/>
      <c r="O31" s="37"/>
      <c r="P31" s="37"/>
      <c r="Q31" s="37"/>
      <c r="R31" s="37"/>
      <c r="S31" s="37"/>
      <c r="T31" s="37"/>
      <c r="U31" s="57"/>
      <c r="V31" s="3"/>
      <c r="W31" s="3"/>
      <c r="X31" s="3"/>
      <c r="Y31" s="3"/>
    </row>
    <row r="32" spans="1:25" s="12" customFormat="1" ht="47.4" customHeight="1" x14ac:dyDescent="0.3">
      <c r="C32" s="20" t="s">
        <v>29</v>
      </c>
      <c r="D32" s="20" t="s">
        <v>46</v>
      </c>
      <c r="E32" s="17" t="s">
        <v>45</v>
      </c>
      <c r="F32" s="17" t="s">
        <v>47</v>
      </c>
      <c r="G32" s="17" t="s">
        <v>37</v>
      </c>
      <c r="H32" s="17" t="s">
        <v>36</v>
      </c>
      <c r="I32" s="155" t="s">
        <v>48</v>
      </c>
      <c r="J32" s="155"/>
      <c r="K32" s="155" t="s">
        <v>30</v>
      </c>
      <c r="L32" s="155"/>
      <c r="O32" s="60"/>
    </row>
    <row r="33" spans="2:25" s="12" customFormat="1" ht="47.4" customHeight="1" x14ac:dyDescent="0.3">
      <c r="C33" s="39" t="s">
        <v>42</v>
      </c>
      <c r="D33" s="39" t="s">
        <v>54</v>
      </c>
      <c r="E33" s="14">
        <f>W19</f>
        <v>7200</v>
      </c>
      <c r="F33" s="14">
        <f>E33*0.85</f>
        <v>6120</v>
      </c>
      <c r="G33" s="66">
        <f>SUM(U19)</f>
        <v>60</v>
      </c>
      <c r="H33" s="40">
        <f>SUM(F21:T21)</f>
        <v>48</v>
      </c>
      <c r="I33" s="193">
        <f>SUM(G33:H33)</f>
        <v>108</v>
      </c>
      <c r="J33" s="193"/>
      <c r="K33" s="156">
        <v>4286936</v>
      </c>
      <c r="L33" s="156"/>
      <c r="M33" s="32"/>
      <c r="N33" s="74"/>
      <c r="O33" s="32"/>
      <c r="P33" s="32"/>
      <c r="Q33" s="32"/>
      <c r="R33" s="32"/>
      <c r="S33" s="32"/>
      <c r="T33" s="32"/>
      <c r="U33" s="32"/>
    </row>
    <row r="34" spans="2:25" s="12" customFormat="1" ht="47.4" customHeight="1" x14ac:dyDescent="0.3">
      <c r="C34" s="39" t="s">
        <v>53</v>
      </c>
      <c r="D34" s="39" t="s">
        <v>54</v>
      </c>
      <c r="E34" s="14">
        <f>W20</f>
        <v>4800</v>
      </c>
      <c r="F34" s="14">
        <f>E34*0.85</f>
        <v>4080</v>
      </c>
      <c r="G34" s="66">
        <f>SUM(U20:U20)</f>
        <v>48</v>
      </c>
      <c r="H34" s="40">
        <f>SUM(F22:T22)</f>
        <v>48</v>
      </c>
      <c r="I34" s="193">
        <f>SUM(G34:H34)</f>
        <v>96</v>
      </c>
      <c r="J34" s="193"/>
      <c r="K34" s="156">
        <v>1722326</v>
      </c>
      <c r="L34" s="156"/>
      <c r="M34" s="32"/>
      <c r="N34" s="74"/>
      <c r="O34" s="32"/>
      <c r="P34" s="32"/>
      <c r="Q34" s="32"/>
      <c r="R34" s="32"/>
      <c r="S34" s="32"/>
      <c r="T34" s="32"/>
      <c r="U34" s="32"/>
    </row>
    <row r="35" spans="2:25" s="13" customFormat="1" ht="36.6" customHeight="1" x14ac:dyDescent="0.35">
      <c r="C35" s="39" t="s">
        <v>42</v>
      </c>
      <c r="D35" s="53" t="s">
        <v>55</v>
      </c>
      <c r="E35" s="54">
        <v>400</v>
      </c>
      <c r="F35" s="55">
        <f>E35*0.85</f>
        <v>340</v>
      </c>
      <c r="G35" s="58"/>
      <c r="H35" s="58"/>
      <c r="I35" s="199"/>
      <c r="J35" s="199"/>
      <c r="K35" s="157"/>
      <c r="L35" s="158"/>
    </row>
    <row r="36" spans="2:25" s="13" customFormat="1" ht="36.6" customHeight="1" x14ac:dyDescent="0.35">
      <c r="C36" s="39" t="s">
        <v>53</v>
      </c>
      <c r="D36" s="53" t="s">
        <v>55</v>
      </c>
      <c r="E36" s="54">
        <v>400</v>
      </c>
      <c r="F36" s="55">
        <f t="shared" ref="F36" si="12">E36*0.85</f>
        <v>340</v>
      </c>
      <c r="G36" s="19"/>
      <c r="H36" s="19"/>
      <c r="I36" s="199"/>
      <c r="J36" s="199"/>
      <c r="K36" s="158"/>
      <c r="L36" s="158"/>
    </row>
    <row r="37" spans="2:25" s="13" customFormat="1" ht="25.2" customHeight="1" x14ac:dyDescent="0.35">
      <c r="C37" s="203" t="s">
        <v>49</v>
      </c>
      <c r="D37" s="203"/>
      <c r="E37" s="56">
        <f>SUM(E33:E36)</f>
        <v>12800</v>
      </c>
      <c r="F37" s="56">
        <f>SUM(F33:F36)</f>
        <v>10880</v>
      </c>
      <c r="G37" s="19"/>
      <c r="H37" s="31"/>
      <c r="I37" s="31"/>
    </row>
    <row r="38" spans="2:25" s="61" customFormat="1" ht="25.8" x14ac:dyDescent="0.5">
      <c r="B38" s="13"/>
      <c r="C38" s="29"/>
      <c r="D38" s="29"/>
      <c r="E38" s="30"/>
      <c r="F38" s="19"/>
      <c r="G38" s="19"/>
      <c r="H38" s="31"/>
      <c r="I38" s="31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2:25" s="13" customFormat="1" ht="25.2" customHeight="1" x14ac:dyDescent="0.5">
      <c r="B39" s="196"/>
      <c r="C39" s="196"/>
      <c r="D39" s="64"/>
      <c r="E39" s="64"/>
      <c r="F39" s="64"/>
      <c r="G39" s="64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</row>
    <row r="40" spans="2:25" x14ac:dyDescent="0.35">
      <c r="B40" s="13"/>
      <c r="C40" s="29"/>
      <c r="D40" s="29"/>
      <c r="E40" s="30"/>
      <c r="F40" s="19"/>
      <c r="G40" s="19"/>
      <c r="H40" s="31"/>
      <c r="I40" s="31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2:25" ht="23.4" x14ac:dyDescent="0.45">
      <c r="G41" s="154" t="s">
        <v>39</v>
      </c>
      <c r="H41" s="154"/>
      <c r="I41" s="154"/>
      <c r="J41" s="154"/>
      <c r="K41" s="154"/>
      <c r="L41" s="154"/>
      <c r="M41" s="154"/>
      <c r="N41" s="38"/>
      <c r="O41" s="38"/>
      <c r="P41" s="38"/>
      <c r="Q41" s="38"/>
      <c r="R41" s="38"/>
      <c r="S41" s="38"/>
      <c r="T41" s="38"/>
      <c r="U41" s="38"/>
    </row>
  </sheetData>
  <mergeCells count="50">
    <mergeCell ref="B39:C39"/>
    <mergeCell ref="C15:D15"/>
    <mergeCell ref="E15:H15"/>
    <mergeCell ref="F2:I2"/>
    <mergeCell ref="I35:J35"/>
    <mergeCell ref="I36:J36"/>
    <mergeCell ref="C12:D12"/>
    <mergeCell ref="E9:H9"/>
    <mergeCell ref="E12:H12"/>
    <mergeCell ref="J9:J10"/>
    <mergeCell ref="C37:D37"/>
    <mergeCell ref="C5:F5"/>
    <mergeCell ref="C8:D8"/>
    <mergeCell ref="C7:D7"/>
    <mergeCell ref="C6:D6"/>
    <mergeCell ref="C11:D11"/>
    <mergeCell ref="W23:W24"/>
    <mergeCell ref="C31:I31"/>
    <mergeCell ref="I34:J34"/>
    <mergeCell ref="D27:H27"/>
    <mergeCell ref="B28:G28"/>
    <mergeCell ref="I32:J32"/>
    <mergeCell ref="I33:J33"/>
    <mergeCell ref="X23:X24"/>
    <mergeCell ref="I17:K17"/>
    <mergeCell ref="E6:H6"/>
    <mergeCell ref="E7:H7"/>
    <mergeCell ref="E8:H8"/>
    <mergeCell ref="E11:H11"/>
    <mergeCell ref="E10:H10"/>
    <mergeCell ref="B23:E23"/>
    <mergeCell ref="B24:E24"/>
    <mergeCell ref="C13:D13"/>
    <mergeCell ref="E13:H13"/>
    <mergeCell ref="E14:H14"/>
    <mergeCell ref="C14:D14"/>
    <mergeCell ref="K6:P6"/>
    <mergeCell ref="K7:P7"/>
    <mergeCell ref="K12:P12"/>
    <mergeCell ref="C10:D10"/>
    <mergeCell ref="C9:D9"/>
    <mergeCell ref="K11:P11"/>
    <mergeCell ref="K9:P10"/>
    <mergeCell ref="K8:P8"/>
    <mergeCell ref="G41:M41"/>
    <mergeCell ref="K32:L32"/>
    <mergeCell ref="K33:L33"/>
    <mergeCell ref="K35:L35"/>
    <mergeCell ref="K34:L34"/>
    <mergeCell ref="K36:L36"/>
  </mergeCells>
  <phoneticPr fontId="4" type="noConversion"/>
  <pageMargins left="0.7" right="0.7" top="0.75" bottom="0.75" header="0.3" footer="0.3"/>
  <pageSetup scale="31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0FC1-DB2A-450B-BA76-C9C63D1C8DC1}">
  <sheetPr>
    <pageSetUpPr fitToPage="1"/>
  </sheetPr>
  <dimension ref="A2:AF42"/>
  <sheetViews>
    <sheetView zoomScale="70" zoomScaleNormal="70" workbookViewId="0">
      <selection activeCell="D19" sqref="D19"/>
    </sheetView>
  </sheetViews>
  <sheetFormatPr defaultColWidth="8.77734375" defaultRowHeight="18" x14ac:dyDescent="0.35"/>
  <cols>
    <col min="1" max="1" width="8.77734375" style="75"/>
    <col min="2" max="2" width="23.88671875" style="75" customWidth="1"/>
    <col min="3" max="3" width="20.44140625" style="75" customWidth="1"/>
    <col min="4" max="4" width="27" style="75" customWidth="1"/>
    <col min="5" max="5" width="15.88671875" style="75" customWidth="1"/>
    <col min="6" max="6" width="14.44140625" style="75" customWidth="1"/>
    <col min="7" max="7" width="14.109375" style="75" customWidth="1"/>
    <col min="8" max="8" width="21.21875" style="75" customWidth="1"/>
    <col min="9" max="10" width="12.77734375" style="75" customWidth="1"/>
    <col min="11" max="11" width="12.33203125" style="75" customWidth="1"/>
    <col min="12" max="28" width="12.77734375" style="75" customWidth="1"/>
    <col min="29" max="29" width="12.44140625" style="75" customWidth="1"/>
    <col min="30" max="30" width="16.5546875" style="75" customWidth="1"/>
    <col min="31" max="31" width="16.44140625" style="75" customWidth="1"/>
    <col min="32" max="32" width="24.77734375" style="75" customWidth="1"/>
    <col min="33" max="16384" width="8.77734375" style="75"/>
  </cols>
  <sheetData>
    <row r="2" spans="2:16" ht="23.4" x14ac:dyDescent="0.45">
      <c r="E2" s="154" t="s">
        <v>71</v>
      </c>
      <c r="F2" s="154"/>
      <c r="G2" s="154"/>
      <c r="H2" s="154"/>
    </row>
    <row r="5" spans="2:16" s="76" customFormat="1" x14ac:dyDescent="0.35">
      <c r="B5" s="77"/>
      <c r="C5" s="207" t="s">
        <v>20</v>
      </c>
      <c r="D5" s="207"/>
      <c r="E5" s="207"/>
      <c r="F5" s="207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2:16" s="77" customFormat="1" x14ac:dyDescent="0.35">
      <c r="C6" s="208" t="s">
        <v>15</v>
      </c>
      <c r="D6" s="209"/>
      <c r="E6" s="210" t="s">
        <v>21</v>
      </c>
      <c r="F6" s="210"/>
      <c r="G6" s="210"/>
      <c r="H6" s="210"/>
      <c r="J6" s="79" t="s">
        <v>14</v>
      </c>
      <c r="K6" s="211" t="s">
        <v>34</v>
      </c>
      <c r="L6" s="211"/>
      <c r="M6" s="211"/>
      <c r="N6" s="211"/>
      <c r="O6" s="211"/>
      <c r="P6" s="211"/>
    </row>
    <row r="7" spans="2:16" s="77" customFormat="1" x14ac:dyDescent="0.35">
      <c r="C7" s="212" t="s">
        <v>65</v>
      </c>
      <c r="D7" s="213"/>
      <c r="E7" s="214">
        <v>46190</v>
      </c>
      <c r="F7" s="214"/>
      <c r="G7" s="214"/>
      <c r="H7" s="214"/>
      <c r="J7" s="79" t="s">
        <v>13</v>
      </c>
      <c r="K7" s="215" t="s">
        <v>33</v>
      </c>
      <c r="L7" s="215"/>
      <c r="M7" s="215"/>
      <c r="N7" s="215"/>
      <c r="O7" s="215"/>
      <c r="P7" s="215"/>
    </row>
    <row r="8" spans="2:16" s="77" customFormat="1" ht="37.799999999999997" customHeight="1" x14ac:dyDescent="0.35">
      <c r="C8" s="216" t="s">
        <v>16</v>
      </c>
      <c r="D8" s="217"/>
      <c r="E8" s="218" t="s">
        <v>22</v>
      </c>
      <c r="F8" s="218"/>
      <c r="G8" s="218"/>
      <c r="H8" s="218"/>
      <c r="J8" s="80" t="s">
        <v>11</v>
      </c>
      <c r="K8" s="219" t="s">
        <v>32</v>
      </c>
      <c r="L8" s="220"/>
      <c r="M8" s="220"/>
      <c r="N8" s="220"/>
      <c r="O8" s="220"/>
      <c r="P8" s="221"/>
    </row>
    <row r="9" spans="2:16" s="77" customFormat="1" x14ac:dyDescent="0.35">
      <c r="C9" s="208" t="s">
        <v>12</v>
      </c>
      <c r="D9" s="209"/>
      <c r="E9" s="222" t="s">
        <v>31</v>
      </c>
      <c r="F9" s="222"/>
      <c r="G9" s="222"/>
      <c r="H9" s="222"/>
      <c r="J9" s="223" t="s">
        <v>9</v>
      </c>
      <c r="K9" s="225" t="s">
        <v>19</v>
      </c>
      <c r="L9" s="226"/>
      <c r="M9" s="226"/>
      <c r="N9" s="226"/>
      <c r="O9" s="226"/>
      <c r="P9" s="227"/>
    </row>
    <row r="10" spans="2:16" s="77" customFormat="1" ht="18.600000000000001" customHeight="1" x14ac:dyDescent="0.35">
      <c r="C10" s="208" t="s">
        <v>10</v>
      </c>
      <c r="D10" s="209"/>
      <c r="E10" s="210" t="s">
        <v>23</v>
      </c>
      <c r="F10" s="210"/>
      <c r="G10" s="210"/>
      <c r="H10" s="210"/>
      <c r="J10" s="224"/>
      <c r="K10" s="228"/>
      <c r="L10" s="229"/>
      <c r="M10" s="229"/>
      <c r="N10" s="229"/>
      <c r="O10" s="229"/>
      <c r="P10" s="230"/>
    </row>
    <row r="11" spans="2:16" s="77" customFormat="1" ht="36" x14ac:dyDescent="0.35">
      <c r="C11" s="208" t="s">
        <v>8</v>
      </c>
      <c r="D11" s="209"/>
      <c r="E11" s="210" t="s">
        <v>50</v>
      </c>
      <c r="F11" s="210"/>
      <c r="G11" s="210"/>
      <c r="H11" s="210"/>
      <c r="J11" s="81" t="s">
        <v>24</v>
      </c>
      <c r="K11" s="219" t="s">
        <v>7</v>
      </c>
      <c r="L11" s="220"/>
      <c r="M11" s="220"/>
      <c r="N11" s="220"/>
      <c r="O11" s="220"/>
      <c r="P11" s="221"/>
    </row>
    <row r="12" spans="2:16" s="77" customFormat="1" ht="40.200000000000003" customHeight="1" x14ac:dyDescent="0.35">
      <c r="C12" s="208" t="s">
        <v>26</v>
      </c>
      <c r="D12" s="209"/>
      <c r="E12" s="210" t="s">
        <v>64</v>
      </c>
      <c r="F12" s="210"/>
      <c r="G12" s="210"/>
      <c r="H12" s="210"/>
      <c r="J12" s="82" t="s">
        <v>6</v>
      </c>
      <c r="K12" s="216" t="s">
        <v>27</v>
      </c>
      <c r="L12" s="231"/>
      <c r="M12" s="231"/>
      <c r="N12" s="231"/>
      <c r="O12" s="231"/>
      <c r="P12" s="217"/>
    </row>
    <row r="13" spans="2:16" s="77" customFormat="1" ht="40.200000000000003" customHeight="1" x14ac:dyDescent="0.35">
      <c r="C13" s="237" t="s">
        <v>63</v>
      </c>
      <c r="D13" s="237"/>
      <c r="E13" s="238">
        <f>AE23</f>
        <v>12820</v>
      </c>
      <c r="F13" s="238"/>
      <c r="G13" s="238"/>
      <c r="H13" s="238"/>
      <c r="K13" s="83"/>
      <c r="L13" s="83"/>
    </row>
    <row r="14" spans="2:16" s="77" customFormat="1" ht="40.200000000000003" customHeight="1" x14ac:dyDescent="0.35">
      <c r="C14" s="84"/>
      <c r="D14" s="84"/>
      <c r="E14" s="85"/>
      <c r="F14" s="85"/>
      <c r="G14" s="85"/>
      <c r="H14" s="85"/>
      <c r="K14" s="83"/>
      <c r="L14" s="83"/>
    </row>
    <row r="15" spans="2:16" s="77" customFormat="1" ht="40.200000000000003" customHeight="1" x14ac:dyDescent="0.35">
      <c r="C15" s="84"/>
      <c r="D15" s="84"/>
      <c r="E15" s="85"/>
      <c r="F15" s="85"/>
      <c r="G15" s="85"/>
      <c r="H15" s="85"/>
      <c r="K15" s="83"/>
      <c r="L15" s="83"/>
    </row>
    <row r="16" spans="2:16" s="77" customFormat="1" ht="19.8" customHeight="1" x14ac:dyDescent="0.35"/>
    <row r="17" spans="1:32" ht="34.200000000000003" customHeight="1" x14ac:dyDescent="0.35">
      <c r="B17" s="86" t="s">
        <v>25</v>
      </c>
      <c r="C17" s="86"/>
      <c r="D17" s="86"/>
      <c r="E17" s="87"/>
      <c r="F17" s="87"/>
      <c r="G17" s="88"/>
      <c r="H17" s="88"/>
      <c r="I17" s="249" t="s">
        <v>66</v>
      </c>
      <c r="J17" s="249"/>
      <c r="K17" s="249"/>
      <c r="L17" s="88"/>
      <c r="M17" s="88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90"/>
      <c r="AD17" s="90"/>
      <c r="AE17" s="90"/>
      <c r="AF17" s="90"/>
    </row>
    <row r="18" spans="1:32" ht="36" x14ac:dyDescent="0.35">
      <c r="B18" s="91" t="s">
        <v>5</v>
      </c>
      <c r="C18" s="91" t="s">
        <v>4</v>
      </c>
      <c r="D18" s="91" t="s">
        <v>3</v>
      </c>
      <c r="E18" s="91" t="s">
        <v>43</v>
      </c>
      <c r="F18" s="92">
        <v>46202</v>
      </c>
      <c r="G18" s="92">
        <f>F18+7</f>
        <v>46209</v>
      </c>
      <c r="H18" s="92">
        <f t="shared" ref="H18:AB18" si="0">G18+7</f>
        <v>46216</v>
      </c>
      <c r="I18" s="92">
        <f t="shared" si="0"/>
        <v>46223</v>
      </c>
      <c r="J18" s="92">
        <f t="shared" si="0"/>
        <v>46230</v>
      </c>
      <c r="K18" s="92">
        <f t="shared" si="0"/>
        <v>46237</v>
      </c>
      <c r="L18" s="92">
        <f t="shared" si="0"/>
        <v>46244</v>
      </c>
      <c r="M18" s="92">
        <f t="shared" si="0"/>
        <v>46251</v>
      </c>
      <c r="N18" s="92">
        <f t="shared" si="0"/>
        <v>46258</v>
      </c>
      <c r="O18" s="92">
        <f t="shared" si="0"/>
        <v>46265</v>
      </c>
      <c r="P18" s="92">
        <f t="shared" si="0"/>
        <v>46272</v>
      </c>
      <c r="Q18" s="92">
        <f t="shared" si="0"/>
        <v>46279</v>
      </c>
      <c r="R18" s="92">
        <f t="shared" si="0"/>
        <v>46286</v>
      </c>
      <c r="S18" s="92">
        <f t="shared" si="0"/>
        <v>46293</v>
      </c>
      <c r="T18" s="92">
        <f t="shared" si="0"/>
        <v>46300</v>
      </c>
      <c r="U18" s="92">
        <f t="shared" si="0"/>
        <v>46307</v>
      </c>
      <c r="V18" s="92">
        <f t="shared" si="0"/>
        <v>46314</v>
      </c>
      <c r="W18" s="92">
        <f t="shared" si="0"/>
        <v>46321</v>
      </c>
      <c r="X18" s="92">
        <f t="shared" si="0"/>
        <v>46328</v>
      </c>
      <c r="Y18" s="92">
        <f t="shared" si="0"/>
        <v>46335</v>
      </c>
      <c r="Z18" s="92">
        <f t="shared" si="0"/>
        <v>46342</v>
      </c>
      <c r="AA18" s="92">
        <f t="shared" si="0"/>
        <v>46349</v>
      </c>
      <c r="AB18" s="92">
        <f t="shared" si="0"/>
        <v>46356</v>
      </c>
      <c r="AC18" s="93" t="s">
        <v>2</v>
      </c>
      <c r="AD18" s="91" t="s">
        <v>17</v>
      </c>
      <c r="AE18" s="94" t="s">
        <v>18</v>
      </c>
      <c r="AF18" s="94" t="s">
        <v>35</v>
      </c>
    </row>
    <row r="19" spans="1:32" ht="36.6" customHeight="1" x14ac:dyDescent="0.35">
      <c r="B19" s="95" t="s">
        <v>73</v>
      </c>
      <c r="C19" s="95" t="s">
        <v>74</v>
      </c>
      <c r="D19" s="96" t="s">
        <v>1</v>
      </c>
      <c r="E19" s="96" t="s">
        <v>44</v>
      </c>
      <c r="F19" s="97">
        <v>4</v>
      </c>
      <c r="G19" s="97">
        <v>4</v>
      </c>
      <c r="H19" s="97">
        <v>4</v>
      </c>
      <c r="I19" s="97">
        <v>4</v>
      </c>
      <c r="J19" s="97">
        <v>4</v>
      </c>
      <c r="K19" s="97">
        <v>4</v>
      </c>
      <c r="L19" s="97">
        <v>3</v>
      </c>
      <c r="M19" s="97">
        <v>3</v>
      </c>
      <c r="N19" s="97">
        <v>3</v>
      </c>
      <c r="O19" s="97">
        <v>2</v>
      </c>
      <c r="P19" s="97">
        <v>2</v>
      </c>
      <c r="Q19" s="97">
        <v>2</v>
      </c>
      <c r="R19" s="97">
        <v>2</v>
      </c>
      <c r="S19" s="97">
        <v>2</v>
      </c>
      <c r="T19" s="97">
        <v>2</v>
      </c>
      <c r="U19" s="97">
        <v>2</v>
      </c>
      <c r="V19" s="97">
        <v>2</v>
      </c>
      <c r="W19" s="97">
        <v>2</v>
      </c>
      <c r="X19" s="97">
        <v>2</v>
      </c>
      <c r="Y19" s="97">
        <v>2</v>
      </c>
      <c r="Z19" s="97">
        <v>2</v>
      </c>
      <c r="AA19" s="97">
        <v>2</v>
      </c>
      <c r="AB19" s="97">
        <v>2</v>
      </c>
      <c r="AC19" s="98">
        <f>SUM(F19:AB19)</f>
        <v>61</v>
      </c>
      <c r="AD19" s="99">
        <v>120</v>
      </c>
      <c r="AE19" s="100">
        <f t="shared" ref="AE19:AE20" si="1">AD19*AC19</f>
        <v>7320</v>
      </c>
      <c r="AF19" s="100">
        <f t="shared" ref="AF19:AF20" si="2">AE19*0.85</f>
        <v>6222</v>
      </c>
    </row>
    <row r="20" spans="1:32" ht="42" customHeight="1" x14ac:dyDescent="0.35">
      <c r="B20" s="95" t="s">
        <v>51</v>
      </c>
      <c r="C20" s="95" t="s">
        <v>52</v>
      </c>
      <c r="D20" s="96" t="s">
        <v>1</v>
      </c>
      <c r="E20" s="96" t="s">
        <v>44</v>
      </c>
      <c r="F20" s="97">
        <v>3</v>
      </c>
      <c r="G20" s="97">
        <v>3</v>
      </c>
      <c r="H20" s="97">
        <v>3</v>
      </c>
      <c r="I20" s="97">
        <v>3</v>
      </c>
      <c r="J20" s="97">
        <v>3</v>
      </c>
      <c r="K20" s="97">
        <v>3</v>
      </c>
      <c r="L20" s="97">
        <v>3</v>
      </c>
      <c r="M20" s="97">
        <v>3</v>
      </c>
      <c r="N20" s="97">
        <v>3</v>
      </c>
      <c r="O20" s="97">
        <v>2</v>
      </c>
      <c r="P20" s="97">
        <v>2</v>
      </c>
      <c r="Q20" s="97">
        <v>2</v>
      </c>
      <c r="R20" s="97">
        <v>2</v>
      </c>
      <c r="S20" s="97">
        <v>2</v>
      </c>
      <c r="T20" s="97">
        <v>2</v>
      </c>
      <c r="U20" s="97">
        <v>2</v>
      </c>
      <c r="V20" s="97">
        <v>2</v>
      </c>
      <c r="W20" s="97">
        <v>2</v>
      </c>
      <c r="X20" s="97">
        <v>2</v>
      </c>
      <c r="Y20" s="97">
        <v>2</v>
      </c>
      <c r="Z20" s="97">
        <v>2</v>
      </c>
      <c r="AA20" s="97">
        <v>2</v>
      </c>
      <c r="AB20" s="97">
        <v>2</v>
      </c>
      <c r="AC20" s="98">
        <f t="shared" ref="AC20:AC22" si="3">SUM(F20:AB20)</f>
        <v>55</v>
      </c>
      <c r="AD20" s="99">
        <v>100</v>
      </c>
      <c r="AE20" s="100">
        <f t="shared" si="1"/>
        <v>5500</v>
      </c>
      <c r="AF20" s="100">
        <f t="shared" si="2"/>
        <v>4675</v>
      </c>
    </row>
    <row r="21" spans="1:32" ht="42" customHeight="1" x14ac:dyDescent="0.35">
      <c r="A21" s="101" t="s">
        <v>28</v>
      </c>
      <c r="B21" s="91" t="s">
        <v>60</v>
      </c>
      <c r="C21" s="91" t="s">
        <v>61</v>
      </c>
      <c r="D21" s="102" t="s">
        <v>28</v>
      </c>
      <c r="E21" s="102" t="s">
        <v>44</v>
      </c>
      <c r="F21" s="103">
        <v>3</v>
      </c>
      <c r="G21" s="103">
        <v>3</v>
      </c>
      <c r="H21" s="103">
        <v>3</v>
      </c>
      <c r="I21" s="103">
        <v>3</v>
      </c>
      <c r="J21" s="103">
        <v>3</v>
      </c>
      <c r="K21" s="103">
        <v>3</v>
      </c>
      <c r="L21" s="103">
        <v>3</v>
      </c>
      <c r="M21" s="103">
        <v>3</v>
      </c>
      <c r="N21" s="103">
        <v>3</v>
      </c>
      <c r="O21" s="103">
        <v>3</v>
      </c>
      <c r="P21" s="103">
        <v>3</v>
      </c>
      <c r="Q21" s="103">
        <v>3</v>
      </c>
      <c r="R21" s="103">
        <v>2</v>
      </c>
      <c r="S21" s="103">
        <v>2</v>
      </c>
      <c r="T21" s="103">
        <v>2</v>
      </c>
      <c r="U21" s="103">
        <v>2</v>
      </c>
      <c r="V21" s="103">
        <v>2</v>
      </c>
      <c r="W21" s="103">
        <v>2</v>
      </c>
      <c r="X21" s="103">
        <v>2</v>
      </c>
      <c r="Y21" s="103">
        <v>2</v>
      </c>
      <c r="Z21" s="103">
        <v>2</v>
      </c>
      <c r="AA21" s="103">
        <v>2</v>
      </c>
      <c r="AB21" s="103">
        <v>2</v>
      </c>
      <c r="AC21" s="104">
        <f t="shared" si="3"/>
        <v>58</v>
      </c>
      <c r="AD21" s="105">
        <v>0</v>
      </c>
      <c r="AE21" s="106">
        <f t="shared" ref="AE21:AE22" si="4">AC21*AD21</f>
        <v>0</v>
      </c>
      <c r="AF21" s="106">
        <f>0</f>
        <v>0</v>
      </c>
    </row>
    <row r="22" spans="1:32" ht="42" customHeight="1" x14ac:dyDescent="0.35">
      <c r="A22" s="101" t="s">
        <v>28</v>
      </c>
      <c r="B22" s="107" t="s">
        <v>53</v>
      </c>
      <c r="C22" s="91" t="s">
        <v>59</v>
      </c>
      <c r="D22" s="102" t="s">
        <v>28</v>
      </c>
      <c r="E22" s="102" t="s">
        <v>44</v>
      </c>
      <c r="F22" s="91">
        <v>3</v>
      </c>
      <c r="G22" s="91">
        <v>3</v>
      </c>
      <c r="H22" s="91">
        <v>3</v>
      </c>
      <c r="I22" s="91">
        <v>3</v>
      </c>
      <c r="J22" s="91">
        <v>3</v>
      </c>
      <c r="K22" s="91">
        <v>3</v>
      </c>
      <c r="L22" s="91">
        <v>3</v>
      </c>
      <c r="M22" s="91">
        <v>3</v>
      </c>
      <c r="N22" s="91">
        <v>3</v>
      </c>
      <c r="O22" s="91">
        <v>3</v>
      </c>
      <c r="P22" s="91">
        <v>3</v>
      </c>
      <c r="Q22" s="91">
        <v>2</v>
      </c>
      <c r="R22" s="91">
        <v>2</v>
      </c>
      <c r="S22" s="91">
        <v>2</v>
      </c>
      <c r="T22" s="91">
        <v>2</v>
      </c>
      <c r="U22" s="91">
        <v>2</v>
      </c>
      <c r="V22" s="91">
        <v>2</v>
      </c>
      <c r="W22" s="91">
        <v>2</v>
      </c>
      <c r="X22" s="91">
        <v>2</v>
      </c>
      <c r="Y22" s="91">
        <v>2</v>
      </c>
      <c r="Z22" s="91">
        <v>2</v>
      </c>
      <c r="AA22" s="91">
        <v>2</v>
      </c>
      <c r="AB22" s="91">
        <v>2</v>
      </c>
      <c r="AC22" s="104">
        <f t="shared" si="3"/>
        <v>57</v>
      </c>
      <c r="AD22" s="108">
        <v>0</v>
      </c>
      <c r="AE22" s="106">
        <f t="shared" si="4"/>
        <v>0</v>
      </c>
      <c r="AF22" s="106">
        <f>0</f>
        <v>0</v>
      </c>
    </row>
    <row r="23" spans="1:32" ht="26.4" customHeight="1" x14ac:dyDescent="0.35">
      <c r="B23" s="232" t="s">
        <v>40</v>
      </c>
      <c r="C23" s="233"/>
      <c r="D23" s="233"/>
      <c r="E23" s="234"/>
      <c r="F23" s="109">
        <f t="shared" ref="F23:AB23" si="5">SUM(F19:F20)</f>
        <v>7</v>
      </c>
      <c r="G23" s="109">
        <f t="shared" si="5"/>
        <v>7</v>
      </c>
      <c r="H23" s="109">
        <f t="shared" si="5"/>
        <v>7</v>
      </c>
      <c r="I23" s="109">
        <f t="shared" si="5"/>
        <v>7</v>
      </c>
      <c r="J23" s="109">
        <f t="shared" si="5"/>
        <v>7</v>
      </c>
      <c r="K23" s="109">
        <f t="shared" si="5"/>
        <v>7</v>
      </c>
      <c r="L23" s="109">
        <f t="shared" si="5"/>
        <v>6</v>
      </c>
      <c r="M23" s="109">
        <f t="shared" si="5"/>
        <v>6</v>
      </c>
      <c r="N23" s="109">
        <f t="shared" si="5"/>
        <v>6</v>
      </c>
      <c r="O23" s="109">
        <f t="shared" si="5"/>
        <v>4</v>
      </c>
      <c r="P23" s="109">
        <f t="shared" si="5"/>
        <v>4</v>
      </c>
      <c r="Q23" s="109">
        <f t="shared" si="5"/>
        <v>4</v>
      </c>
      <c r="R23" s="109">
        <f t="shared" si="5"/>
        <v>4</v>
      </c>
      <c r="S23" s="109">
        <f t="shared" si="5"/>
        <v>4</v>
      </c>
      <c r="T23" s="109">
        <f t="shared" si="5"/>
        <v>4</v>
      </c>
      <c r="U23" s="109">
        <f t="shared" si="5"/>
        <v>4</v>
      </c>
      <c r="V23" s="109">
        <f t="shared" si="5"/>
        <v>4</v>
      </c>
      <c r="W23" s="109">
        <f t="shared" si="5"/>
        <v>4</v>
      </c>
      <c r="X23" s="109">
        <f t="shared" si="5"/>
        <v>4</v>
      </c>
      <c r="Y23" s="109">
        <f t="shared" si="5"/>
        <v>4</v>
      </c>
      <c r="Z23" s="109">
        <f t="shared" si="5"/>
        <v>4</v>
      </c>
      <c r="AA23" s="109">
        <f t="shared" si="5"/>
        <v>4</v>
      </c>
      <c r="AB23" s="109">
        <f t="shared" si="5"/>
        <v>4</v>
      </c>
      <c r="AC23" s="110">
        <f>SUM(F23:AB23)</f>
        <v>116</v>
      </c>
      <c r="AD23" s="111"/>
      <c r="AE23" s="235">
        <f>SUM(AE19:AE20)</f>
        <v>12820</v>
      </c>
      <c r="AF23" s="235">
        <f>AE23*0.85</f>
        <v>10897</v>
      </c>
    </row>
    <row r="24" spans="1:32" ht="26.4" customHeight="1" x14ac:dyDescent="0.35">
      <c r="B24" s="232" t="s">
        <v>41</v>
      </c>
      <c r="C24" s="233"/>
      <c r="D24" s="233"/>
      <c r="E24" s="234"/>
      <c r="F24" s="109">
        <f>SUM(F21:F22)</f>
        <v>6</v>
      </c>
      <c r="G24" s="109">
        <f t="shared" ref="G24:AB24" si="6">SUM(G21:G22)</f>
        <v>6</v>
      </c>
      <c r="H24" s="109">
        <f t="shared" si="6"/>
        <v>6</v>
      </c>
      <c r="I24" s="109">
        <f t="shared" si="6"/>
        <v>6</v>
      </c>
      <c r="J24" s="109">
        <f t="shared" si="6"/>
        <v>6</v>
      </c>
      <c r="K24" s="109">
        <f t="shared" si="6"/>
        <v>6</v>
      </c>
      <c r="L24" s="109">
        <f t="shared" si="6"/>
        <v>6</v>
      </c>
      <c r="M24" s="109">
        <f t="shared" si="6"/>
        <v>6</v>
      </c>
      <c r="N24" s="109">
        <f t="shared" si="6"/>
        <v>6</v>
      </c>
      <c r="O24" s="109">
        <f t="shared" si="6"/>
        <v>6</v>
      </c>
      <c r="P24" s="109">
        <f t="shared" si="6"/>
        <v>6</v>
      </c>
      <c r="Q24" s="109">
        <f t="shared" si="6"/>
        <v>5</v>
      </c>
      <c r="R24" s="109">
        <f t="shared" si="6"/>
        <v>4</v>
      </c>
      <c r="S24" s="109">
        <f t="shared" si="6"/>
        <v>4</v>
      </c>
      <c r="T24" s="109">
        <f t="shared" si="6"/>
        <v>4</v>
      </c>
      <c r="U24" s="109">
        <f t="shared" si="6"/>
        <v>4</v>
      </c>
      <c r="V24" s="109">
        <f t="shared" si="6"/>
        <v>4</v>
      </c>
      <c r="W24" s="109">
        <f t="shared" si="6"/>
        <v>4</v>
      </c>
      <c r="X24" s="109">
        <f t="shared" si="6"/>
        <v>4</v>
      </c>
      <c r="Y24" s="109">
        <f t="shared" si="6"/>
        <v>4</v>
      </c>
      <c r="Z24" s="109">
        <f t="shared" si="6"/>
        <v>4</v>
      </c>
      <c r="AA24" s="109">
        <f t="shared" si="6"/>
        <v>4</v>
      </c>
      <c r="AB24" s="109">
        <f t="shared" si="6"/>
        <v>4</v>
      </c>
      <c r="AC24" s="110">
        <f>SUM(AC21:AC22)</f>
        <v>115</v>
      </c>
      <c r="AD24" s="112"/>
      <c r="AE24" s="236"/>
      <c r="AF24" s="236"/>
    </row>
    <row r="25" spans="1:32" ht="26.4" customHeight="1" x14ac:dyDescent="0.35">
      <c r="B25" s="113" t="s">
        <v>38</v>
      </c>
      <c r="C25" s="114"/>
      <c r="D25" s="114"/>
      <c r="E25" s="115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7"/>
      <c r="AD25" s="118"/>
      <c r="AE25" s="119"/>
      <c r="AF25" s="119"/>
    </row>
    <row r="26" spans="1:32" x14ac:dyDescent="0.35">
      <c r="B26" s="122"/>
      <c r="C26" s="123"/>
      <c r="D26" s="123"/>
      <c r="E26" s="11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</row>
    <row r="27" spans="1:32" x14ac:dyDescent="0.35">
      <c r="B27" s="113"/>
      <c r="C27" s="114"/>
      <c r="D27" s="114"/>
      <c r="E27" s="11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</row>
    <row r="28" spans="1:32" s="125" customFormat="1" ht="18" customHeight="1" x14ac:dyDescent="0.35">
      <c r="B28" s="75"/>
      <c r="C28" s="126"/>
      <c r="D28" s="126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75"/>
      <c r="AD28" s="75"/>
      <c r="AE28" s="75"/>
      <c r="AF28" s="75"/>
    </row>
    <row r="29" spans="1:32" s="127" customFormat="1" ht="37.200000000000003" customHeight="1" x14ac:dyDescent="0.35">
      <c r="B29" s="125"/>
      <c r="C29" s="246" t="s">
        <v>0</v>
      </c>
      <c r="D29" s="247"/>
      <c r="E29" s="247"/>
      <c r="F29" s="247"/>
      <c r="G29" s="247"/>
      <c r="H29" s="247"/>
      <c r="I29" s="247"/>
      <c r="J29" s="128"/>
      <c r="K29" s="128"/>
      <c r="L29" s="128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5"/>
      <c r="AD29" s="125"/>
      <c r="AE29" s="125"/>
      <c r="AF29" s="125"/>
    </row>
    <row r="30" spans="1:32" s="127" customFormat="1" ht="47.4" customHeight="1" x14ac:dyDescent="0.3">
      <c r="C30" s="130" t="s">
        <v>29</v>
      </c>
      <c r="D30" s="130" t="s">
        <v>46</v>
      </c>
      <c r="E30" s="131" t="s">
        <v>45</v>
      </c>
      <c r="F30" s="131" t="s">
        <v>47</v>
      </c>
      <c r="G30" s="131" t="s">
        <v>37</v>
      </c>
      <c r="H30" s="131" t="s">
        <v>36</v>
      </c>
      <c r="I30" s="248" t="s">
        <v>48</v>
      </c>
      <c r="J30" s="248"/>
      <c r="K30" s="248" t="s">
        <v>30</v>
      </c>
      <c r="L30" s="248"/>
      <c r="O30" s="132"/>
    </row>
    <row r="31" spans="1:32" s="127" customFormat="1" ht="47.4" customHeight="1" x14ac:dyDescent="0.3">
      <c r="C31" s="133" t="s">
        <v>72</v>
      </c>
      <c r="D31" s="133" t="s">
        <v>54</v>
      </c>
      <c r="E31" s="134">
        <f>SUM(AE19)</f>
        <v>7320</v>
      </c>
      <c r="F31" s="134">
        <f>E31*0.85</f>
        <v>6222</v>
      </c>
      <c r="G31" s="135">
        <f>SUM(AC19)</f>
        <v>61</v>
      </c>
      <c r="H31" s="136">
        <f>SUM(F21:AB21)</f>
        <v>58</v>
      </c>
      <c r="I31" s="244">
        <f>SUM(G31:H31)</f>
        <v>119</v>
      </c>
      <c r="J31" s="244"/>
      <c r="K31" s="245">
        <v>4834204</v>
      </c>
      <c r="L31" s="245"/>
      <c r="M31" s="137"/>
      <c r="N31" s="74"/>
      <c r="O31" s="74"/>
      <c r="P31" s="137"/>
      <c r="Q31" s="137"/>
      <c r="R31" s="137"/>
      <c r="S31" s="137"/>
      <c r="T31" s="137"/>
      <c r="U31" s="137"/>
      <c r="V31" s="137"/>
    </row>
    <row r="32" spans="1:32" s="127" customFormat="1" ht="47.4" customHeight="1" x14ac:dyDescent="0.3">
      <c r="C32" s="133" t="s">
        <v>53</v>
      </c>
      <c r="D32" s="133" t="s">
        <v>54</v>
      </c>
      <c r="E32" s="134">
        <f>SUM(AE20:AE20)</f>
        <v>5500</v>
      </c>
      <c r="F32" s="134">
        <f>E32*0.85</f>
        <v>4675</v>
      </c>
      <c r="G32" s="135">
        <f>SUM(AC20:AC20)</f>
        <v>55</v>
      </c>
      <c r="H32" s="136">
        <f>SUM(F22:AB22)</f>
        <v>57</v>
      </c>
      <c r="I32" s="244">
        <f>SUM(G32:H32)</f>
        <v>112</v>
      </c>
      <c r="J32" s="244"/>
      <c r="K32" s="245">
        <v>1804248</v>
      </c>
      <c r="L32" s="245"/>
      <c r="M32" s="137"/>
      <c r="N32" s="74"/>
      <c r="O32" s="74"/>
      <c r="P32" s="137"/>
      <c r="Q32" s="137"/>
      <c r="R32" s="137"/>
      <c r="S32" s="137"/>
      <c r="T32" s="137"/>
      <c r="U32" s="137"/>
      <c r="V32" s="137"/>
    </row>
    <row r="33" spans="2:32" s="138" customFormat="1" ht="25.2" customHeight="1" x14ac:dyDescent="0.35">
      <c r="C33" s="240" t="s">
        <v>49</v>
      </c>
      <c r="D33" s="240"/>
      <c r="E33" s="139">
        <f>SUM(E31:E32)</f>
        <v>12820</v>
      </c>
      <c r="F33" s="139">
        <f>SUM(F31:F32)</f>
        <v>10897</v>
      </c>
      <c r="G33" s="140"/>
      <c r="H33" s="141"/>
      <c r="I33" s="141"/>
      <c r="K33" s="148"/>
    </row>
    <row r="34" spans="2:32" s="120" customFormat="1" ht="25.8" x14ac:dyDescent="0.5">
      <c r="B34" s="138"/>
      <c r="C34" s="142"/>
      <c r="D34" s="142"/>
      <c r="E34" s="143"/>
      <c r="F34" s="140"/>
      <c r="G34" s="140"/>
      <c r="H34" s="141"/>
      <c r="I34" s="141"/>
      <c r="J34" s="138"/>
      <c r="K34" s="149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</row>
    <row r="35" spans="2:32" s="144" customFormat="1" ht="25.8" x14ac:dyDescent="0.5">
      <c r="B35" s="121" t="s">
        <v>56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</row>
    <row r="36" spans="2:32" s="144" customFormat="1" ht="25.8" x14ac:dyDescent="0.5">
      <c r="B36" s="241" t="s">
        <v>69</v>
      </c>
      <c r="C36" s="241"/>
      <c r="D36" s="241"/>
      <c r="E36" s="241"/>
      <c r="F36" s="241"/>
      <c r="G36" s="241"/>
      <c r="H36" s="241"/>
    </row>
    <row r="37" spans="2:32" s="144" customFormat="1" ht="25.8" x14ac:dyDescent="0.5">
      <c r="B37" s="242" t="s">
        <v>68</v>
      </c>
      <c r="C37" s="242"/>
      <c r="D37" s="242"/>
      <c r="E37" s="242"/>
      <c r="F37" s="242"/>
      <c r="G37" s="242"/>
      <c r="H37" s="75"/>
      <c r="I37" s="75"/>
      <c r="J37" s="75"/>
      <c r="K37" s="75"/>
    </row>
    <row r="38" spans="2:32" s="144" customFormat="1" ht="25.8" x14ac:dyDescent="0.5">
      <c r="B38" s="242" t="s">
        <v>57</v>
      </c>
      <c r="C38" s="242"/>
      <c r="D38" s="242"/>
      <c r="E38" s="242"/>
      <c r="F38" s="145"/>
      <c r="G38" s="145"/>
    </row>
    <row r="39" spans="2:32" s="144" customFormat="1" ht="25.8" x14ac:dyDescent="0.5">
      <c r="B39" s="242" t="s">
        <v>58</v>
      </c>
      <c r="C39" s="242"/>
      <c r="D39" s="242"/>
      <c r="E39" s="242"/>
      <c r="F39" s="242"/>
      <c r="G39" s="145"/>
    </row>
    <row r="40" spans="2:32" s="138" customFormat="1" ht="25.2" customHeight="1" x14ac:dyDescent="0.5">
      <c r="B40" s="243" t="s">
        <v>67</v>
      </c>
      <c r="C40" s="243"/>
      <c r="D40" s="146"/>
      <c r="E40" s="146"/>
      <c r="F40" s="146"/>
      <c r="G40" s="146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</row>
    <row r="41" spans="2:32" x14ac:dyDescent="0.35">
      <c r="B41" s="138"/>
      <c r="C41" s="142"/>
      <c r="D41" s="142"/>
      <c r="E41" s="143"/>
      <c r="F41" s="140"/>
      <c r="G41" s="140"/>
      <c r="H41" s="141"/>
      <c r="I41" s="141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</row>
    <row r="42" spans="2:32" ht="23.4" x14ac:dyDescent="0.45">
      <c r="G42" s="239" t="s">
        <v>39</v>
      </c>
      <c r="H42" s="239"/>
      <c r="I42" s="239"/>
      <c r="J42" s="239"/>
      <c r="K42" s="239"/>
      <c r="L42" s="239"/>
      <c r="M42" s="239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</row>
  </sheetData>
  <mergeCells count="44">
    <mergeCell ref="G42:M42"/>
    <mergeCell ref="E2:H2"/>
    <mergeCell ref="C33:D33"/>
    <mergeCell ref="B36:H36"/>
    <mergeCell ref="B37:G37"/>
    <mergeCell ref="B38:E38"/>
    <mergeCell ref="B39:F39"/>
    <mergeCell ref="B40:C40"/>
    <mergeCell ref="I32:J32"/>
    <mergeCell ref="K32:L32"/>
    <mergeCell ref="C29:I29"/>
    <mergeCell ref="I30:J30"/>
    <mergeCell ref="K30:L30"/>
    <mergeCell ref="I31:J31"/>
    <mergeCell ref="K31:L31"/>
    <mergeCell ref="I17:K17"/>
    <mergeCell ref="B23:E23"/>
    <mergeCell ref="AE23:AE24"/>
    <mergeCell ref="AF23:AF24"/>
    <mergeCell ref="B24:E24"/>
    <mergeCell ref="C13:D13"/>
    <mergeCell ref="E13:H13"/>
    <mergeCell ref="C11:D11"/>
    <mergeCell ref="E11:H11"/>
    <mergeCell ref="K11:P11"/>
    <mergeCell ref="C12:D12"/>
    <mergeCell ref="E12:H12"/>
    <mergeCell ref="K12:P12"/>
    <mergeCell ref="C8:D8"/>
    <mergeCell ref="E8:H8"/>
    <mergeCell ref="K8:P8"/>
    <mergeCell ref="C9:D9"/>
    <mergeCell ref="E9:H9"/>
    <mergeCell ref="J9:J10"/>
    <mergeCell ref="K9:P10"/>
    <mergeCell ref="C10:D10"/>
    <mergeCell ref="E10:H10"/>
    <mergeCell ref="C5:F5"/>
    <mergeCell ref="C6:D6"/>
    <mergeCell ref="E6:H6"/>
    <mergeCell ref="K6:P6"/>
    <mergeCell ref="C7:D7"/>
    <mergeCell ref="E7:H7"/>
    <mergeCell ref="K7:P7"/>
  </mergeCells>
  <pageMargins left="0.7" right="0.7" top="0.75" bottom="0.75" header="0.3" footer="0.3"/>
  <pageSetup scale="25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D3AB-FD85-4DF0-81B0-0818A723140F}">
  <dimension ref="G10:G14"/>
  <sheetViews>
    <sheetView workbookViewId="0">
      <selection activeCell="E10" sqref="E10:G14"/>
    </sheetView>
  </sheetViews>
  <sheetFormatPr defaultRowHeight="14.4" x14ac:dyDescent="0.3"/>
  <cols>
    <col min="5" max="5" width="12.5546875" customWidth="1"/>
    <col min="6" max="6" width="21" customWidth="1"/>
    <col min="7" max="7" width="16" customWidth="1"/>
  </cols>
  <sheetData>
    <row r="10" spans="7:7" x14ac:dyDescent="0.3">
      <c r="G10" s="151"/>
    </row>
    <row r="11" spans="7:7" x14ac:dyDescent="0.3">
      <c r="G11" s="151"/>
    </row>
    <row r="12" spans="7:7" x14ac:dyDescent="0.3">
      <c r="G12" s="151"/>
    </row>
    <row r="13" spans="7:7" x14ac:dyDescent="0.3">
      <c r="G13" s="151"/>
    </row>
    <row r="14" spans="7:7" x14ac:dyDescent="0.3">
      <c r="G14" s="15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Option 1</vt:lpstr>
      <vt:lpstr>Option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Legendary Era</dc:creator>
  <cp:lastModifiedBy>Charmaine Lane</cp:lastModifiedBy>
  <cp:lastPrinted>2026-08-14T16:10:07Z</cp:lastPrinted>
  <dcterms:created xsi:type="dcterms:W3CDTF">2021-11-02T16:36:09Z</dcterms:created>
  <dcterms:modified xsi:type="dcterms:W3CDTF">2026-08-14T16:10:08Z</dcterms:modified>
</cp:coreProperties>
</file>